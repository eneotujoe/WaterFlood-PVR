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.umukoro\Documents\SGP Courses\Reservoir Engineering Foundations\Dykstra-Parson\"/>
    </mc:Choice>
  </mc:AlternateContent>
  <xr:revisionPtr revIDLastSave="0" documentId="8_{8BCBA826-49D9-404D-9378-EC11CC907A67}" xr6:coauthVersionLast="36" xr6:coauthVersionMax="36" xr10:uidLastSave="{00000000-0000-0000-0000-000000000000}"/>
  <bookViews>
    <workbookView xWindow="0" yWindow="0" windowWidth="28800" windowHeight="11925" xr2:uid="{00000000-000D-0000-FFFF-FFFF00000000}"/>
  </bookViews>
  <sheets>
    <sheet name="Coef. variación permeabilidad" sheetId="1" r:id="rId1"/>
    <sheet name="ejes" sheetId="2" r:id="rId2"/>
  </sheets>
  <definedNames>
    <definedName name="a">(COUNT(Z)*SUMPRODUCT(Z,log_k)-SUM(Z)*SUM(log_k))/(COUNT(Z)*SUMSQ(Z)-(SUM(Z)^2))</definedName>
    <definedName name="b">(SUM(log_k)-a*SUM(Z))/COUNT(Z)</definedName>
    <definedName name="datos">OFFSET('Coef. variación permeabilidad'!$A$1,0,0,COUNTA('Coef. variación permeabilidad'!$B:$B),3)</definedName>
    <definedName name="h">OFFSET('Coef. variación permeabilidad'!$C$2,0,0,COUNT('Coef. variación permeabilidad'!$B:$B),1)</definedName>
    <definedName name="k">OFFSET('Coef. variación permeabilidad'!$B$3,0,0,COUNT('Coef. variación permeabilidad'!$B:$B),1)</definedName>
    <definedName name="kdesv">EXP(a+b)</definedName>
    <definedName name="kprom">EXP(b)</definedName>
    <definedName name="log_k">OFFSET('Coef. variación permeabilidad'!$F$3,0,0,COUNT('Coef. variación permeabilidad'!$B:$B)-1,1)</definedName>
    <definedName name="mayor_que">OFFSET('Coef. variación permeabilidad'!$E$3,0,0,COUNT('Coef. variación permeabilidad'!$B:$B)-1,1)</definedName>
    <definedName name="n">SUM(OFFSET('Coef. variación permeabilidad'!$C$2,0,0,COUNT('Coef. variación permeabilidad'!$B:$B),1))</definedName>
    <definedName name="V">(kprom-kdesv)/kprom</definedName>
    <definedName name="X_xlabel">OFFSET(ejes!$B$3,0,0,COUNT(ejes!$A:$A),1)</definedName>
    <definedName name="X_xunlabel">OFFSET(ejes!$H$3,0,0,COUNT(ejes!$G:$G),1)</definedName>
    <definedName name="X_ylabel">OFFSET(ejes!$E$3,0,0,COUNT(ejes!$D:$D),1)</definedName>
    <definedName name="X_yunlabel">OFFSET(ejes!$K$3,0,0,COUNT(ejes!$J:$J),1)</definedName>
    <definedName name="Y_xlabel">OFFSET(ejes!$C$3,0,0,COUNT(ejes!$A:$A),1)</definedName>
    <definedName name="Y_xunlabel">OFFSET(ejes!$I$3,0,0,COUNT(ejes!$G:$G),1)</definedName>
    <definedName name="Y_ylabel">OFFSET(ejes!$F$3,0,0,COUNT(ejes!$D:$D),1)</definedName>
    <definedName name="Y_yunlabel">OFFSET(ejes!$L$3,0,0,COUNT(ejes!$J:$J),1)</definedName>
    <definedName name="Z">OFFSET('Coef. variación permeabilidad'!$D$3,0,0,COUNT('Coef. variación permeabilidad'!$B:$B)-1,1)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3" i="1"/>
  <c r="E2" i="1"/>
  <c r="D2" i="1" s="1"/>
  <c r="E4" i="1"/>
  <c r="D4" i="1" s="1"/>
  <c r="E5" i="1"/>
  <c r="D5" i="1" s="1"/>
  <c r="E6" i="1"/>
  <c r="D6" i="1" s="1"/>
  <c r="E7" i="1"/>
  <c r="D7" i="1" s="1"/>
  <c r="E8" i="1"/>
  <c r="D8" i="1" s="1"/>
  <c r="E9" i="1"/>
  <c r="D9" i="1" s="1"/>
  <c r="E10" i="1"/>
  <c r="D10" i="1" s="1"/>
  <c r="E11" i="1"/>
  <c r="D11" i="1" s="1"/>
  <c r="E12" i="1"/>
  <c r="D12" i="1" s="1"/>
  <c r="E13" i="1"/>
  <c r="D13" i="1" s="1"/>
  <c r="E14" i="1"/>
  <c r="D14" i="1" s="1"/>
  <c r="E15" i="1"/>
  <c r="D15" i="1" s="1"/>
  <c r="E16" i="1"/>
  <c r="D16" i="1" s="1"/>
  <c r="E17" i="1"/>
  <c r="D17" i="1" s="1"/>
  <c r="E18" i="1"/>
  <c r="D18" i="1" s="1"/>
  <c r="E19" i="1"/>
  <c r="D19" i="1" s="1"/>
  <c r="E20" i="1"/>
  <c r="D20" i="1" s="1"/>
  <c r="E21" i="1"/>
  <c r="D21" i="1" s="1"/>
  <c r="E22" i="1"/>
  <c r="D22" i="1" s="1"/>
  <c r="E23" i="1"/>
  <c r="D23" i="1" s="1"/>
  <c r="E24" i="1"/>
  <c r="D24" i="1" s="1"/>
  <c r="E25" i="1"/>
  <c r="D25" i="1" s="1"/>
  <c r="E26" i="1"/>
  <c r="D26" i="1" s="1"/>
  <c r="E27" i="1"/>
  <c r="D27" i="1" s="1"/>
  <c r="E28" i="1"/>
  <c r="D28" i="1" s="1"/>
  <c r="E29" i="1"/>
  <c r="D29" i="1" s="1"/>
  <c r="E30" i="1"/>
  <c r="D30" i="1" s="1"/>
  <c r="E31" i="1"/>
  <c r="D31" i="1" s="1"/>
  <c r="E32" i="1"/>
  <c r="D32" i="1" s="1"/>
  <c r="E33" i="1"/>
  <c r="D33" i="1" s="1"/>
  <c r="E34" i="1"/>
  <c r="D34" i="1" s="1"/>
  <c r="E35" i="1"/>
  <c r="D35" i="1" s="1"/>
  <c r="E36" i="1"/>
  <c r="D36" i="1" s="1"/>
  <c r="E37" i="1"/>
  <c r="D37" i="1" s="1"/>
  <c r="E38" i="1"/>
  <c r="D38" i="1" s="1"/>
  <c r="E39" i="1"/>
  <c r="D39" i="1" s="1"/>
  <c r="E40" i="1"/>
  <c r="D40" i="1" s="1"/>
  <c r="E41" i="1"/>
  <c r="D41" i="1" s="1"/>
  <c r="E42" i="1"/>
  <c r="D42" i="1" s="1"/>
  <c r="E43" i="1"/>
  <c r="D43" i="1" s="1"/>
  <c r="E44" i="1"/>
  <c r="D44" i="1" s="1"/>
  <c r="E45" i="1"/>
  <c r="D45" i="1" s="1"/>
  <c r="E46" i="1"/>
  <c r="D46" i="1" s="1"/>
  <c r="E47" i="1"/>
  <c r="D47" i="1" s="1"/>
  <c r="E48" i="1"/>
  <c r="D48" i="1" s="1"/>
  <c r="E49" i="1"/>
  <c r="D49" i="1" s="1"/>
  <c r="E50" i="1"/>
  <c r="D50" i="1" s="1"/>
  <c r="E51" i="1"/>
  <c r="D51" i="1" s="1"/>
  <c r="E52" i="1"/>
  <c r="D52" i="1" s="1"/>
  <c r="E53" i="1"/>
  <c r="D53" i="1" s="1"/>
  <c r="E54" i="1"/>
  <c r="D54" i="1" s="1"/>
  <c r="E55" i="1"/>
  <c r="D55" i="1" s="1"/>
  <c r="E3" i="1"/>
  <c r="D3" i="1" s="1"/>
  <c r="H4" i="1"/>
  <c r="B3" i="2"/>
  <c r="F3" i="2"/>
  <c r="H3" i="2"/>
  <c r="L3" i="2"/>
  <c r="B4" i="2"/>
  <c r="F4" i="2"/>
  <c r="H4" i="2"/>
  <c r="L4" i="2"/>
  <c r="B5" i="2"/>
  <c r="F5" i="2"/>
  <c r="H5" i="2"/>
  <c r="L5" i="2"/>
  <c r="B6" i="2"/>
  <c r="F6" i="2"/>
  <c r="H6" i="2"/>
  <c r="L6" i="2"/>
  <c r="B7" i="2"/>
  <c r="F7" i="2"/>
  <c r="H7" i="2"/>
  <c r="L7" i="2"/>
  <c r="B8" i="2"/>
  <c r="H8" i="2"/>
  <c r="L8" i="2"/>
  <c r="B9" i="2"/>
  <c r="H9" i="2"/>
  <c r="L9" i="2"/>
  <c r="B10" i="2"/>
  <c r="H10" i="2"/>
  <c r="L10" i="2"/>
  <c r="B11" i="2"/>
  <c r="H11" i="2"/>
  <c r="L11" i="2"/>
  <c r="B12" i="2"/>
  <c r="H12" i="2"/>
  <c r="L12" i="2"/>
  <c r="B13" i="2"/>
  <c r="H13" i="2"/>
  <c r="L13" i="2"/>
  <c r="B14" i="2"/>
  <c r="H14" i="2"/>
  <c r="L14" i="2"/>
  <c r="B15" i="2"/>
  <c r="H15" i="2"/>
  <c r="L15" i="2"/>
  <c r="B16" i="2"/>
  <c r="H16" i="2"/>
  <c r="L16" i="2"/>
  <c r="B17" i="2"/>
  <c r="H17" i="2"/>
  <c r="L17" i="2"/>
  <c r="H18" i="2"/>
  <c r="L18" i="2"/>
  <c r="H19" i="2"/>
  <c r="L19" i="2"/>
  <c r="H20" i="2"/>
  <c r="L20" i="2"/>
  <c r="H21" i="2"/>
  <c r="L21" i="2"/>
  <c r="H22" i="2"/>
  <c r="L22" i="2"/>
  <c r="H23" i="2"/>
  <c r="L23" i="2"/>
  <c r="H24" i="2"/>
  <c r="L24" i="2"/>
  <c r="H25" i="2"/>
  <c r="L25" i="2"/>
  <c r="H26" i="2"/>
  <c r="L26" i="2"/>
  <c r="H27" i="2"/>
  <c r="L27" i="2"/>
  <c r="H28" i="2"/>
  <c r="L28" i="2"/>
  <c r="H29" i="2"/>
  <c r="L29" i="2"/>
  <c r="H30" i="2"/>
  <c r="L30" i="2"/>
  <c r="H31" i="2"/>
  <c r="L31" i="2"/>
  <c r="H32" i="2"/>
  <c r="L32" i="2"/>
  <c r="H33" i="2"/>
  <c r="L33" i="2"/>
  <c r="H34" i="2"/>
  <c r="L34" i="2"/>
  <c r="H35" i="2"/>
  <c r="L35" i="2"/>
  <c r="H36" i="2"/>
  <c r="L36" i="2"/>
  <c r="H37" i="2"/>
  <c r="L37" i="2"/>
  <c r="H38" i="2"/>
  <c r="L38" i="2"/>
  <c r="H39" i="2"/>
  <c r="L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2" i="1" l="1"/>
  <c r="H1" i="1"/>
  <c r="H3" i="1" l="1"/>
</calcChain>
</file>

<file path=xl/sharedStrings.xml><?xml version="1.0" encoding="utf-8"?>
<sst xmlns="http://schemas.openxmlformats.org/spreadsheetml/2006/main" count="26" uniqueCount="15">
  <si>
    <t>Ylabel</t>
  </si>
  <si>
    <t>Label</t>
  </si>
  <si>
    <t>Xlabel</t>
  </si>
  <si>
    <t>X (probabilidad)</t>
  </si>
  <si>
    <t>Y (permeabilidad)</t>
  </si>
  <si>
    <t>V:</t>
  </si>
  <si>
    <t>Ln(k)</t>
  </si>
  <si>
    <t>z</t>
  </si>
  <si>
    <t>K50</t>
  </si>
  <si>
    <t>K84,1</t>
  </si>
  <si>
    <t>H:</t>
  </si>
  <si>
    <t>Permeability (md)</t>
  </si>
  <si>
    <t>Layer thikness</t>
  </si>
  <si>
    <t>probability</t>
  </si>
  <si>
    <t>Layer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</si>
</sst>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6" x14ac:knownFonts="1">
    <font>
      <sz val="10"/>
      <name val="Arial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i/>
      <sz val="10"/>
      <name val="Arial"/>
      <family val="2"/>
    </font>
    <font>
      <b/>
      <i/>
      <sz val="10"/>
      <color indexed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2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" fontId="3" fillId="2" borderId="2" xfId="0" applyNumberFormat="1" applyFont="1" applyFill="1" applyBorder="1"/>
    <xf numFmtId="1" fontId="3" fillId="2" borderId="3" xfId="0" applyNumberFormat="1" applyFont="1" applyFill="1" applyBorder="1"/>
    <xf numFmtId="166" fontId="4" fillId="3" borderId="3" xfId="0" applyNumberFormat="1" applyFont="1" applyFill="1" applyBorder="1"/>
    <xf numFmtId="1" fontId="3" fillId="2" borderId="4" xfId="0" applyNumberFormat="1" applyFont="1" applyFill="1" applyBorder="1"/>
    <xf numFmtId="0" fontId="2" fillId="4" borderId="5" xfId="0" applyFont="1" applyFill="1" applyBorder="1"/>
    <xf numFmtId="0" fontId="2" fillId="4" borderId="6" xfId="0" applyFont="1" applyFill="1" applyBorder="1"/>
    <xf numFmtId="0" fontId="2" fillId="4" borderId="7" xfId="0" applyFont="1" applyFill="1" applyBorder="1"/>
    <xf numFmtId="0" fontId="1" fillId="0" borderId="0" xfId="0" applyFon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11" fontId="0" fillId="0" borderId="0" xfId="0" applyNumberFormat="1"/>
    <xf numFmtId="165" fontId="0" fillId="0" borderId="0" xfId="0" applyNumberFormat="1"/>
    <xf numFmtId="2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Dykstra-Parsons coefficient of Permeability Variation</a:t>
            </a:r>
          </a:p>
        </c:rich>
      </c:tx>
      <c:layout>
        <c:manualLayout>
          <c:xMode val="edge"/>
          <c:yMode val="edge"/>
          <c:x val="0.20225242718446612"/>
          <c:y val="1.1173184357541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5436893203883535E-2"/>
          <c:y val="0.10428324364824051"/>
          <c:w val="0.8"/>
          <c:h val="0.78771092970010181"/>
        </c:manualLayout>
      </c:layout>
      <c:scatterChart>
        <c:scatterStyle val="lineMarker"/>
        <c:varyColors val="0"/>
        <c:ser>
          <c:idx val="0"/>
          <c:order val="0"/>
          <c:tx>
            <c:v>Dykstra &amp; Parson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60A3-4B56-AA1F-081DAE062E7A}"/>
              </c:ext>
            </c:extLst>
          </c:dPt>
          <c:trendline>
            <c:spPr>
              <a:ln w="38100">
                <a:solidFill>
                  <a:srgbClr val="0000FF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[0]!Z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[0]!log_k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A3-4B56-AA1F-081DAE062E7A}"/>
            </c:ext>
          </c:extLst>
        </c:ser>
        <c:ser>
          <c:idx val="1"/>
          <c:order val="1"/>
          <c:tx>
            <c:v>Ylabel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A3-4B56-AA1F-081DAE062E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A3-4B56-AA1F-081DAE062E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0A3-4B56-AA1F-081DAE062E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A3-4B56-AA1F-081DAE062E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10000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A3-4B56-AA1F-081DAE062E7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x"/>
            <c:errBarType val="minus"/>
            <c:errValType val="fixedVal"/>
            <c:noEndCap val="0"/>
            <c:val val="5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[0]!X_ylabel</c:f>
              <c:numCache>
                <c:formatCode>General</c:formatCode>
                <c:ptCount val="5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xVal>
          <c:yVal>
            <c:numRef>
              <c:f>[0]!Y_ylabel</c:f>
              <c:numCache>
                <c:formatCode>General</c:formatCode>
                <c:ptCount val="5"/>
                <c:pt idx="0">
                  <c:v>0</c:v>
                </c:pt>
                <c:pt idx="1">
                  <c:v>2.3025850929940459</c:v>
                </c:pt>
                <c:pt idx="2">
                  <c:v>4.6051701859880918</c:v>
                </c:pt>
                <c:pt idx="3">
                  <c:v>6.9077552789821368</c:v>
                </c:pt>
                <c:pt idx="4">
                  <c:v>9.2103403719761836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0A3-4B56-AA1F-081DAE062E7A}"/>
            </c:ext>
          </c:extLst>
        </c:ser>
        <c:ser>
          <c:idx val="3"/>
          <c:order val="2"/>
          <c:tx>
            <c:v>Xlabel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0283872282954546E-4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A3-4B56-AA1F-081DAE062E7A}"/>
                </c:ext>
              </c:extLst>
            </c:dLbl>
            <c:dLbl>
              <c:idx val="1"/>
              <c:layout>
                <c:manualLayout>
                  <c:x val="-1.5483016079300567E-3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A3-4B56-AA1F-081DAE062E7A}"/>
                </c:ext>
              </c:extLst>
            </c:dLbl>
            <c:dLbl>
              <c:idx val="2"/>
              <c:layout>
                <c:manualLayout>
                  <c:x val="-1.4241520780776085E-3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A3-4B56-AA1F-081DAE062E7A}"/>
                </c:ext>
              </c:extLst>
            </c:dLbl>
            <c:dLbl>
              <c:idx val="3"/>
              <c:layout>
                <c:manualLayout>
                  <c:x val="1.3352699844555331E-4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A3-4B56-AA1F-081DAE062E7A}"/>
                </c:ext>
              </c:extLst>
            </c:dLbl>
            <c:dLbl>
              <c:idx val="4"/>
              <c:layout>
                <c:manualLayout>
                  <c:x val="3.1597991998563137E-5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0A3-4B56-AA1F-081DAE062E7A}"/>
                </c:ext>
              </c:extLst>
            </c:dLbl>
            <c:dLbl>
              <c:idx val="5"/>
              <c:layout>
                <c:manualLayout>
                  <c:x val="-2.3831001707310781E-4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0A3-4B56-AA1F-081DAE062E7A}"/>
                </c:ext>
              </c:extLst>
            </c:dLbl>
            <c:dLbl>
              <c:idx val="6"/>
              <c:layout>
                <c:manualLayout>
                  <c:x val="-8.8841322019214393E-4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A3-4B56-AA1F-081DAE062E7A}"/>
                </c:ext>
              </c:extLst>
            </c:dLbl>
            <c:dLbl>
              <c:idx val="7"/>
              <c:layout>
                <c:manualLayout>
                  <c:x val="-6.4724919093850331E-4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0A3-4B56-AA1F-081DAE062E7A}"/>
                </c:ext>
              </c:extLst>
            </c:dLbl>
            <c:dLbl>
              <c:idx val="8"/>
              <c:layout>
                <c:manualLayout>
                  <c:x val="-4.0608516168480751E-4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A3-4B56-AA1F-081DAE062E7A}"/>
                </c:ext>
              </c:extLst>
            </c:dLbl>
            <c:dLbl>
              <c:idx val="9"/>
              <c:layout>
                <c:manualLayout>
                  <c:x val="-1.0561883648038993E-3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0A3-4B56-AA1F-081DAE062E7A}"/>
                </c:ext>
              </c:extLst>
            </c:dLbl>
            <c:dLbl>
              <c:idx val="10"/>
              <c:layout>
                <c:manualLayout>
                  <c:x val="-1.3260963738755142E-3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0A3-4B56-AA1F-081DAE062E7A}"/>
                </c:ext>
              </c:extLst>
            </c:dLbl>
            <c:dLbl>
              <c:idx val="11"/>
              <c:layout>
                <c:manualLayout>
                  <c:x val="-1.4280253803225593E-3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0A3-4B56-AA1F-081DAE062E7A}"/>
                </c:ext>
              </c:extLst>
            </c:dLbl>
            <c:dLbl>
              <c:idx val="12"/>
              <c:layout>
                <c:manualLayout>
                  <c:x val="1.2965369620060208E-4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A3-4B56-AA1F-081DAE062E7A}"/>
                </c:ext>
              </c:extLst>
            </c:dLbl>
            <c:dLbl>
              <c:idx val="13"/>
              <c:layout>
                <c:manualLayout>
                  <c:x val="2.5380322605314504E-4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0A3-4B56-AA1F-081DAE062E7A}"/>
                </c:ext>
              </c:extLst>
            </c:dLbl>
            <c:dLbl>
              <c:idx val="14"/>
              <c:layout>
                <c:manualLayout>
                  <c:x val="-1.0916596590473666E-3"/>
                  <c:y val="2.4301890854507648E-2"/>
                </c:manualLayout>
              </c:layout>
              <c:tx>
                <c:rich>
                  <a:bodyPr/>
                  <a:lstStyle/>
                  <a:p>
                    <a:pPr>
                      <a:defRPr sz="105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A3-4B56-AA1F-081DAE062E7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plus"/>
            <c:errValType val="fixedVal"/>
            <c:noEndCap val="1"/>
            <c:val val="9.2103403719761765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[0]!X_xlabel</c:f>
              <c:numCache>
                <c:formatCode>General</c:formatCode>
                <c:ptCount val="15"/>
                <c:pt idx="0">
                  <c:v>-2.0537489106318225</c:v>
                </c:pt>
                <c:pt idx="1">
                  <c:v>-1.6448536269514726</c:v>
                </c:pt>
                <c:pt idx="2">
                  <c:v>-1.2815515655446006</c:v>
                </c:pt>
                <c:pt idx="3">
                  <c:v>-1.0364333894937898</c:v>
                </c:pt>
                <c:pt idx="4">
                  <c:v>-0.84162123357291452</c:v>
                </c:pt>
                <c:pt idx="5">
                  <c:v>-0.52440051270804089</c:v>
                </c:pt>
                <c:pt idx="6">
                  <c:v>-0.25334710313579978</c:v>
                </c:pt>
                <c:pt idx="7">
                  <c:v>0</c:v>
                </c:pt>
                <c:pt idx="8">
                  <c:v>0.25334710313579978</c:v>
                </c:pt>
                <c:pt idx="9">
                  <c:v>0.52440051270804078</c:v>
                </c:pt>
                <c:pt idx="10">
                  <c:v>0.84162123357291474</c:v>
                </c:pt>
                <c:pt idx="11">
                  <c:v>1.0364333894937898</c:v>
                </c:pt>
                <c:pt idx="12">
                  <c:v>1.2815515655446006</c:v>
                </c:pt>
                <c:pt idx="13">
                  <c:v>1.6448536269514715</c:v>
                </c:pt>
                <c:pt idx="14">
                  <c:v>2.0537489106318221</c:v>
                </c:pt>
              </c:numCache>
            </c:numRef>
          </c:xVal>
          <c:yVal>
            <c:numRef>
              <c:f>[0]!Y_xlabel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0A3-4B56-AA1F-081DAE062E7A}"/>
            </c:ext>
          </c:extLst>
        </c:ser>
        <c:ser>
          <c:idx val="2"/>
          <c:order val="3"/>
          <c:tx>
            <c:v>Yunlabel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minus"/>
            <c:errValType val="fixedVal"/>
            <c:noEndCap val="0"/>
            <c:val val="5"/>
            <c:spPr>
              <a:ln w="3175">
                <a:solidFill>
                  <a:srgbClr val="000000"/>
                </a:solidFill>
                <a:prstDash val="sysDash"/>
              </a:ln>
            </c:spPr>
          </c:errBars>
          <c:xVal>
            <c:numRef>
              <c:f>[0]!X_yunlabel</c:f>
              <c:numCache>
                <c:formatCode>General</c:formatCode>
                <c:ptCount val="37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2.5</c:v>
                </c:pt>
                <c:pt idx="24">
                  <c:v>2.5</c:v>
                </c:pt>
                <c:pt idx="25">
                  <c:v>2.5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2.5</c:v>
                </c:pt>
                <c:pt idx="30">
                  <c:v>2.5</c:v>
                </c:pt>
                <c:pt idx="31">
                  <c:v>2.5</c:v>
                </c:pt>
                <c:pt idx="32">
                  <c:v>2.5</c:v>
                </c:pt>
                <c:pt idx="33">
                  <c:v>2.5</c:v>
                </c:pt>
                <c:pt idx="34">
                  <c:v>2.5</c:v>
                </c:pt>
                <c:pt idx="35">
                  <c:v>2.5</c:v>
                </c:pt>
                <c:pt idx="36">
                  <c:v>2.5</c:v>
                </c:pt>
              </c:numCache>
            </c:numRef>
          </c:xVal>
          <c:yVal>
            <c:numRef>
              <c:f>[0]!Y_yunlabel</c:f>
              <c:numCache>
                <c:formatCode>General</c:formatCode>
                <c:ptCount val="37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2.9957322735539909</c:v>
                </c:pt>
                <c:pt idx="11">
                  <c:v>3.4011973816621555</c:v>
                </c:pt>
                <c:pt idx="12">
                  <c:v>3.6888794541139363</c:v>
                </c:pt>
                <c:pt idx="13">
                  <c:v>3.912023005428146</c:v>
                </c:pt>
                <c:pt idx="14">
                  <c:v>4.0943445622221004</c:v>
                </c:pt>
                <c:pt idx="15">
                  <c:v>4.2484952420493594</c:v>
                </c:pt>
                <c:pt idx="16">
                  <c:v>4.3820266346738812</c:v>
                </c:pt>
                <c:pt idx="17">
                  <c:v>4.499809670330265</c:v>
                </c:pt>
                <c:pt idx="18">
                  <c:v>4.6051701859880918</c:v>
                </c:pt>
                <c:pt idx="19">
                  <c:v>5.2983173665480363</c:v>
                </c:pt>
                <c:pt idx="20">
                  <c:v>5.7037824746562009</c:v>
                </c:pt>
                <c:pt idx="21">
                  <c:v>5.9914645471079817</c:v>
                </c:pt>
                <c:pt idx="22">
                  <c:v>6.2146080984221914</c:v>
                </c:pt>
                <c:pt idx="23">
                  <c:v>6.3969296552161463</c:v>
                </c:pt>
                <c:pt idx="24">
                  <c:v>6.5510803350434044</c:v>
                </c:pt>
                <c:pt idx="25">
                  <c:v>6.6846117276679271</c:v>
                </c:pt>
                <c:pt idx="26">
                  <c:v>6.8023947633243109</c:v>
                </c:pt>
                <c:pt idx="27">
                  <c:v>6.9077552789821368</c:v>
                </c:pt>
                <c:pt idx="28">
                  <c:v>7.6009024595420822</c:v>
                </c:pt>
                <c:pt idx="29">
                  <c:v>8.0063675676502459</c:v>
                </c:pt>
                <c:pt idx="30">
                  <c:v>8.2940496401020276</c:v>
                </c:pt>
                <c:pt idx="31">
                  <c:v>8.5171931914162382</c:v>
                </c:pt>
                <c:pt idx="32">
                  <c:v>8.6995147482101913</c:v>
                </c:pt>
                <c:pt idx="33">
                  <c:v>8.8536654280374503</c:v>
                </c:pt>
                <c:pt idx="34">
                  <c:v>8.987196820661973</c:v>
                </c:pt>
                <c:pt idx="35">
                  <c:v>9.1049798563183568</c:v>
                </c:pt>
                <c:pt idx="36">
                  <c:v>9.2103403719761836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60A3-4B56-AA1F-081DAE062E7A}"/>
            </c:ext>
          </c:extLst>
        </c:ser>
        <c:ser>
          <c:idx val="4"/>
          <c:order val="4"/>
          <c:tx>
            <c:v>Xunlabel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y"/>
            <c:errBarType val="plus"/>
            <c:errValType val="fixedVal"/>
            <c:noEndCap val="0"/>
            <c:val val="9.2103403719761765"/>
            <c:spPr>
              <a:ln w="12700">
                <a:solidFill>
                  <a:srgbClr val="000000"/>
                </a:solidFill>
                <a:prstDash val="sysDash"/>
              </a:ln>
            </c:spPr>
          </c:errBars>
          <c:xVal>
            <c:numRef>
              <c:f>[0]!X_xunlabel</c:f>
              <c:numCache>
                <c:formatCode>General</c:formatCode>
                <c:ptCount val="99"/>
                <c:pt idx="0">
                  <c:v>-2.3263478740408408</c:v>
                </c:pt>
                <c:pt idx="1">
                  <c:v>-2.0537489106318225</c:v>
                </c:pt>
                <c:pt idx="2">
                  <c:v>-1.8807936081512509</c:v>
                </c:pt>
                <c:pt idx="3">
                  <c:v>-1.7506860712521695</c:v>
                </c:pt>
                <c:pt idx="4">
                  <c:v>-1.6448536269514726</c:v>
                </c:pt>
                <c:pt idx="5">
                  <c:v>-1.554773594596853</c:v>
                </c:pt>
                <c:pt idx="6">
                  <c:v>-1.4757910281791702</c:v>
                </c:pt>
                <c:pt idx="7">
                  <c:v>-1.4050715603096353</c:v>
                </c:pt>
                <c:pt idx="8">
                  <c:v>-1.3407550336902161</c:v>
                </c:pt>
                <c:pt idx="9">
                  <c:v>-1.2815515655446006</c:v>
                </c:pt>
                <c:pt idx="10">
                  <c:v>-1.2265281200366105</c:v>
                </c:pt>
                <c:pt idx="11">
                  <c:v>-1.1749867920660904</c:v>
                </c:pt>
                <c:pt idx="12">
                  <c:v>-1.1263911290388013</c:v>
                </c:pt>
                <c:pt idx="13">
                  <c:v>-1.0803193408149565</c:v>
                </c:pt>
                <c:pt idx="14">
                  <c:v>-1.0364333894937898</c:v>
                </c:pt>
                <c:pt idx="15">
                  <c:v>-0.9944578832097497</c:v>
                </c:pt>
                <c:pt idx="16">
                  <c:v>-0.95416525314619549</c:v>
                </c:pt>
                <c:pt idx="17">
                  <c:v>-0.91536508784281501</c:v>
                </c:pt>
                <c:pt idx="18">
                  <c:v>-0.87789629505122846</c:v>
                </c:pt>
                <c:pt idx="19">
                  <c:v>-0.84162123357291452</c:v>
                </c:pt>
                <c:pt idx="20">
                  <c:v>-0.80642124701824058</c:v>
                </c:pt>
                <c:pt idx="21">
                  <c:v>-0.77219321418868503</c:v>
                </c:pt>
                <c:pt idx="22">
                  <c:v>-0.73884684918521393</c:v>
                </c:pt>
                <c:pt idx="23">
                  <c:v>-0.7063025628400873</c:v>
                </c:pt>
                <c:pt idx="24">
                  <c:v>-0.67448975019608193</c:v>
                </c:pt>
                <c:pt idx="25">
                  <c:v>-0.64334540539291696</c:v>
                </c:pt>
                <c:pt idx="26">
                  <c:v>-0.61281299101662734</c:v>
                </c:pt>
                <c:pt idx="27">
                  <c:v>-0.58284150727121631</c:v>
                </c:pt>
                <c:pt idx="28">
                  <c:v>-0.55338471955567303</c:v>
                </c:pt>
                <c:pt idx="29">
                  <c:v>-0.52440051270804089</c:v>
                </c:pt>
                <c:pt idx="30">
                  <c:v>-0.49585034734745354</c:v>
                </c:pt>
                <c:pt idx="31">
                  <c:v>-0.46769879911450829</c:v>
                </c:pt>
                <c:pt idx="32">
                  <c:v>-0.43991316567323374</c:v>
                </c:pt>
                <c:pt idx="33">
                  <c:v>-0.41246312944140484</c:v>
                </c:pt>
                <c:pt idx="34">
                  <c:v>-0.38532046640756784</c:v>
                </c:pt>
                <c:pt idx="35">
                  <c:v>-0.35845879325119384</c:v>
                </c:pt>
                <c:pt idx="36">
                  <c:v>-0.33185334643681658</c:v>
                </c:pt>
                <c:pt idx="37">
                  <c:v>-0.30548078809939727</c:v>
                </c:pt>
                <c:pt idx="38">
                  <c:v>-0.27931903444745415</c:v>
                </c:pt>
                <c:pt idx="39">
                  <c:v>-0.25334710313579978</c:v>
                </c:pt>
                <c:pt idx="40">
                  <c:v>-0.2275449766411495</c:v>
                </c:pt>
                <c:pt idx="41">
                  <c:v>-0.20189347914185088</c:v>
                </c:pt>
                <c:pt idx="42">
                  <c:v>-0.17637416478086138</c:v>
                </c:pt>
                <c:pt idx="43">
                  <c:v>-0.15096921549677725</c:v>
                </c:pt>
                <c:pt idx="44">
                  <c:v>-0.12566134685507402</c:v>
                </c:pt>
                <c:pt idx="45">
                  <c:v>-0.10043372051146976</c:v>
                </c:pt>
                <c:pt idx="46">
                  <c:v>-7.5269862099829901E-2</c:v>
                </c:pt>
                <c:pt idx="47">
                  <c:v>-5.0153583464733656E-2</c:v>
                </c:pt>
                <c:pt idx="48">
                  <c:v>-2.506890825871106E-2</c:v>
                </c:pt>
                <c:pt idx="49">
                  <c:v>0</c:v>
                </c:pt>
                <c:pt idx="50">
                  <c:v>2.506890825871106E-2</c:v>
                </c:pt>
                <c:pt idx="51">
                  <c:v>5.0153583464733656E-2</c:v>
                </c:pt>
                <c:pt idx="52">
                  <c:v>7.5269862099829901E-2</c:v>
                </c:pt>
                <c:pt idx="53">
                  <c:v>0.10043372051146988</c:v>
                </c:pt>
                <c:pt idx="54">
                  <c:v>0.12566134685507416</c:v>
                </c:pt>
                <c:pt idx="55">
                  <c:v>0.15096921549677741</c:v>
                </c:pt>
                <c:pt idx="56">
                  <c:v>0.17637416478086121</c:v>
                </c:pt>
                <c:pt idx="57">
                  <c:v>0.20189347914185077</c:v>
                </c:pt>
                <c:pt idx="58">
                  <c:v>0.22754497664114934</c:v>
                </c:pt>
                <c:pt idx="59">
                  <c:v>0.25334710313579978</c:v>
                </c:pt>
                <c:pt idx="60">
                  <c:v>0.27931903444745415</c:v>
                </c:pt>
                <c:pt idx="61">
                  <c:v>0.30548078809939727</c:v>
                </c:pt>
                <c:pt idx="62">
                  <c:v>0.33185334643681658</c:v>
                </c:pt>
                <c:pt idx="63">
                  <c:v>0.35845879325119384</c:v>
                </c:pt>
                <c:pt idx="64">
                  <c:v>0.38532046640756784</c:v>
                </c:pt>
                <c:pt idx="65">
                  <c:v>0.41246312944140473</c:v>
                </c:pt>
                <c:pt idx="66">
                  <c:v>0.43991316567323396</c:v>
                </c:pt>
                <c:pt idx="67">
                  <c:v>0.46769879911450835</c:v>
                </c:pt>
                <c:pt idx="68">
                  <c:v>0.49585034734745331</c:v>
                </c:pt>
                <c:pt idx="69">
                  <c:v>0.52440051270804078</c:v>
                </c:pt>
                <c:pt idx="70">
                  <c:v>0.5533847195556727</c:v>
                </c:pt>
                <c:pt idx="71">
                  <c:v>0.58284150727121631</c:v>
                </c:pt>
                <c:pt idx="72">
                  <c:v>0.61281299101662734</c:v>
                </c:pt>
                <c:pt idx="73">
                  <c:v>0.64334540539291696</c:v>
                </c:pt>
                <c:pt idx="74">
                  <c:v>0.67448975019608193</c:v>
                </c:pt>
                <c:pt idx="75">
                  <c:v>0.7063025628400873</c:v>
                </c:pt>
                <c:pt idx="76">
                  <c:v>0.73884684918521393</c:v>
                </c:pt>
                <c:pt idx="77">
                  <c:v>0.77219321418868503</c:v>
                </c:pt>
                <c:pt idx="78">
                  <c:v>0.80642124701824058</c:v>
                </c:pt>
                <c:pt idx="79">
                  <c:v>0.84162123357291474</c:v>
                </c:pt>
                <c:pt idx="80">
                  <c:v>0.87789629505122857</c:v>
                </c:pt>
                <c:pt idx="81">
                  <c:v>0.91536508784281256</c:v>
                </c:pt>
                <c:pt idx="82">
                  <c:v>0.95416525314619549</c:v>
                </c:pt>
                <c:pt idx="83">
                  <c:v>0.9944578832097497</c:v>
                </c:pt>
                <c:pt idx="84">
                  <c:v>1.0364333894937898</c:v>
                </c:pt>
                <c:pt idx="85">
                  <c:v>1.0803193408149565</c:v>
                </c:pt>
                <c:pt idx="86">
                  <c:v>1.1263911290388013</c:v>
                </c:pt>
                <c:pt idx="87">
                  <c:v>1.1749867920660904</c:v>
                </c:pt>
                <c:pt idx="88">
                  <c:v>1.2265281200366105</c:v>
                </c:pt>
                <c:pt idx="89">
                  <c:v>1.2815515655446006</c:v>
                </c:pt>
                <c:pt idx="90">
                  <c:v>1.3407550336902161</c:v>
                </c:pt>
                <c:pt idx="91">
                  <c:v>1.4050715603096329</c:v>
                </c:pt>
                <c:pt idx="92">
                  <c:v>1.4757910281791713</c:v>
                </c:pt>
                <c:pt idx="93">
                  <c:v>1.5547735945968528</c:v>
                </c:pt>
                <c:pt idx="94">
                  <c:v>1.6448536269514715</c:v>
                </c:pt>
                <c:pt idx="95">
                  <c:v>1.7506860712521695</c:v>
                </c:pt>
                <c:pt idx="96">
                  <c:v>1.8807936081512504</c:v>
                </c:pt>
                <c:pt idx="97">
                  <c:v>2.0537489106318221</c:v>
                </c:pt>
                <c:pt idx="98">
                  <c:v>2.3263478740408408</c:v>
                </c:pt>
              </c:numCache>
            </c:numRef>
          </c:xVal>
          <c:yVal>
            <c:numRef>
              <c:f>[0]!Y_xunlabel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0A3-4B56-AA1F-081DAE06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53216"/>
        <c:axId val="87355392"/>
      </c:scatterChart>
      <c:valAx>
        <c:axId val="87353216"/>
        <c:scaling>
          <c:orientation val="minMax"/>
          <c:max val="2.5"/>
          <c:min val="-2.5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</a:t>
                </a:r>
              </a:p>
            </c:rich>
          </c:tx>
          <c:layout>
            <c:manualLayout>
              <c:xMode val="edge"/>
              <c:yMode val="edge"/>
              <c:x val="0.42718446601941767"/>
              <c:y val="0.9478602325547298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87355392"/>
        <c:crosses val="autoZero"/>
        <c:crossBetween val="midCat"/>
      </c:valAx>
      <c:valAx>
        <c:axId val="87355392"/>
        <c:scaling>
          <c:orientation val="minMax"/>
          <c:max val="9.210340371976176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Permeability (md)</a:t>
                </a:r>
              </a:p>
            </c:rich>
          </c:tx>
          <c:layout>
            <c:manualLayout>
              <c:xMode val="edge"/>
              <c:yMode val="edge"/>
              <c:x val="1.3592233009708739E-2"/>
              <c:y val="0.379889050181576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87353216"/>
        <c:crossesAt val="-2.5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" footer="0"/>
    <c:pageSetup paperSize="9" orientation="landscape" horizontalDpi="96" verticalDpi="96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0</xdr:rowOff>
    </xdr:from>
    <xdr:to>
      <xdr:col>14</xdr:col>
      <xdr:colOff>352425</xdr:colOff>
      <xdr:row>31</xdr:row>
      <xdr:rowOff>85725</xdr:rowOff>
    </xdr:to>
    <xdr:graphicFrame macro="">
      <xdr:nvGraphicFramePr>
        <xdr:cNvPr id="1045" name="Chart 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85725</xdr:rowOff>
        </xdr:from>
        <xdr:to>
          <xdr:col>7</xdr:col>
          <xdr:colOff>447675</xdr:colOff>
          <xdr:row>6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123825</xdr:rowOff>
        </xdr:from>
        <xdr:to>
          <xdr:col>7</xdr:col>
          <xdr:colOff>447675</xdr:colOff>
          <xdr:row>8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47625</xdr:rowOff>
        </xdr:from>
        <xdr:to>
          <xdr:col>7</xdr:col>
          <xdr:colOff>447675</xdr:colOff>
          <xdr:row>11</xdr:row>
          <xdr:rowOff>38100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666750</xdr:colOff>
          <xdr:row>4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Etiquetas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31"/>
  <sheetViews>
    <sheetView tabSelected="1" workbookViewId="0">
      <selection activeCell="F2" sqref="F2"/>
    </sheetView>
  </sheetViews>
  <sheetFormatPr defaultColWidth="11.42578125" defaultRowHeight="12.75" x14ac:dyDescent="0.2"/>
  <cols>
    <col min="1" max="1" width="9.7109375" style="5" customWidth="1"/>
    <col min="2" max="2" width="19.7109375" style="6" customWidth="1"/>
    <col min="3" max="3" width="17.7109375" style="6" customWidth="1"/>
    <col min="4" max="4" width="10.140625" style="7" customWidth="1"/>
    <col min="5" max="5" width="14" style="7" customWidth="1"/>
    <col min="6" max="6" width="15.28515625" style="8" customWidth="1"/>
    <col min="7" max="7" width="5.85546875" style="4" bestFit="1" customWidth="1"/>
    <col min="8" max="8" width="8.28515625" style="4" bestFit="1" customWidth="1"/>
    <col min="9" max="16384" width="11.42578125" style="4"/>
  </cols>
  <sheetData>
    <row r="1" spans="1:8" x14ac:dyDescent="0.2">
      <c r="A1" s="16" t="s">
        <v>14</v>
      </c>
      <c r="B1" s="17" t="s">
        <v>11</v>
      </c>
      <c r="C1" s="17" t="s">
        <v>12</v>
      </c>
      <c r="D1" s="16" t="s">
        <v>7</v>
      </c>
      <c r="E1" s="16" t="s">
        <v>13</v>
      </c>
      <c r="F1" s="16" t="s">
        <v>6</v>
      </c>
      <c r="G1" s="13" t="s">
        <v>8</v>
      </c>
      <c r="H1" s="9" t="e">
        <f ca="1">kprom</f>
        <v>#NUM!</v>
      </c>
    </row>
    <row r="2" spans="1:8" x14ac:dyDescent="0.2">
      <c r="A2"/>
      <c r="B2"/>
      <c r="C2" s="19"/>
      <c r="D2" s="7" t="e">
        <f ca="1">NORMSINV(E2)</f>
        <v>#REF!</v>
      </c>
      <c r="E2" s="7" t="e">
        <f t="shared" ref="E2:E33" ca="1" si="0">SUM(OFFSET($C$1,0,0,ROW(C2)-1,1))/n</f>
        <v>#REF!</v>
      </c>
      <c r="F2" s="8" t="e">
        <f>LN(B2)</f>
        <v>#NUM!</v>
      </c>
      <c r="G2" s="14" t="s">
        <v>9</v>
      </c>
      <c r="H2" s="10" t="e">
        <f ca="1">kdesv</f>
        <v>#REF!</v>
      </c>
    </row>
    <row r="3" spans="1:8" x14ac:dyDescent="0.2">
      <c r="A3"/>
      <c r="B3"/>
      <c r="C3" s="19"/>
      <c r="D3" s="7" t="e">
        <f ca="1">NORMSINV(E3)</f>
        <v>#REF!</v>
      </c>
      <c r="E3" s="7" t="e">
        <f t="shared" ca="1" si="0"/>
        <v>#REF!</v>
      </c>
      <c r="F3" s="8" t="e">
        <f>LN(B3)</f>
        <v>#NUM!</v>
      </c>
      <c r="G3" s="14" t="s">
        <v>5</v>
      </c>
      <c r="H3" s="11" t="e">
        <f ca="1">(H1-H2)/H1</f>
        <v>#NUM!</v>
      </c>
    </row>
    <row r="4" spans="1:8" ht="13.5" thickBot="1" x14ac:dyDescent="0.25">
      <c r="A4"/>
      <c r="B4"/>
      <c r="C4" s="19"/>
      <c r="D4" s="7" t="e">
        <f t="shared" ref="D4:D55" ca="1" si="1">NORMSINV(E4)</f>
        <v>#REF!</v>
      </c>
      <c r="E4" s="7" t="e">
        <f t="shared" ca="1" si="0"/>
        <v>#REF!</v>
      </c>
      <c r="F4" s="8" t="e">
        <f t="shared" ref="F4:F55" si="2">LN(B4)</f>
        <v>#NUM!</v>
      </c>
      <c r="G4" s="15" t="s">
        <v>10</v>
      </c>
      <c r="H4" s="12" t="e">
        <f ca="1">n</f>
        <v>#REF!</v>
      </c>
    </row>
    <row r="5" spans="1:8" x14ac:dyDescent="0.2">
      <c r="A5"/>
      <c r="B5"/>
      <c r="C5" s="19"/>
      <c r="D5" s="7" t="e">
        <f t="shared" ca="1" si="1"/>
        <v>#REF!</v>
      </c>
      <c r="E5" s="7" t="e">
        <f t="shared" ca="1" si="0"/>
        <v>#REF!</v>
      </c>
      <c r="F5" s="8" t="e">
        <f t="shared" si="2"/>
        <v>#NUM!</v>
      </c>
    </row>
    <row r="6" spans="1:8" x14ac:dyDescent="0.2">
      <c r="A6"/>
      <c r="B6"/>
      <c r="C6" s="19"/>
      <c r="D6" s="7" t="e">
        <f t="shared" ca="1" si="1"/>
        <v>#REF!</v>
      </c>
      <c r="E6" s="7" t="e">
        <f t="shared" ca="1" si="0"/>
        <v>#REF!</v>
      </c>
      <c r="F6" s="8" t="e">
        <f t="shared" si="2"/>
        <v>#NUM!</v>
      </c>
    </row>
    <row r="7" spans="1:8" x14ac:dyDescent="0.2">
      <c r="A7"/>
      <c r="B7"/>
      <c r="C7" s="19"/>
      <c r="D7" s="7" t="e">
        <f t="shared" ca="1" si="1"/>
        <v>#REF!</v>
      </c>
      <c r="E7" s="7" t="e">
        <f t="shared" ca="1" si="0"/>
        <v>#REF!</v>
      </c>
      <c r="F7" s="8" t="e">
        <f t="shared" si="2"/>
        <v>#NUM!</v>
      </c>
    </row>
    <row r="8" spans="1:8" x14ac:dyDescent="0.2">
      <c r="A8"/>
      <c r="B8"/>
      <c r="C8" s="19"/>
      <c r="D8" s="7" t="e">
        <f t="shared" ca="1" si="1"/>
        <v>#REF!</v>
      </c>
      <c r="E8" s="7" t="e">
        <f t="shared" ca="1" si="0"/>
        <v>#REF!</v>
      </c>
      <c r="F8" s="8" t="e">
        <f t="shared" si="2"/>
        <v>#NUM!</v>
      </c>
    </row>
    <row r="9" spans="1:8" x14ac:dyDescent="0.2">
      <c r="A9"/>
      <c r="B9"/>
      <c r="C9" s="19"/>
      <c r="D9" s="7" t="e">
        <f t="shared" ca="1" si="1"/>
        <v>#REF!</v>
      </c>
      <c r="E9" s="7" t="e">
        <f t="shared" ca="1" si="0"/>
        <v>#REF!</v>
      </c>
      <c r="F9" s="8" t="e">
        <f t="shared" si="2"/>
        <v>#NUM!</v>
      </c>
    </row>
    <row r="10" spans="1:8" x14ac:dyDescent="0.2">
      <c r="A10"/>
      <c r="B10"/>
      <c r="C10" s="19"/>
      <c r="D10" s="7" t="e">
        <f t="shared" ca="1" si="1"/>
        <v>#REF!</v>
      </c>
      <c r="E10" s="7" t="e">
        <f t="shared" ca="1" si="0"/>
        <v>#REF!</v>
      </c>
      <c r="F10" s="8" t="e">
        <f t="shared" si="2"/>
        <v>#NUM!</v>
      </c>
    </row>
    <row r="11" spans="1:8" x14ac:dyDescent="0.2">
      <c r="A11"/>
      <c r="B11"/>
      <c r="C11" s="19"/>
      <c r="D11" s="7" t="e">
        <f t="shared" ca="1" si="1"/>
        <v>#REF!</v>
      </c>
      <c r="E11" s="7" t="e">
        <f t="shared" ca="1" si="0"/>
        <v>#REF!</v>
      </c>
      <c r="F11" s="8" t="e">
        <f t="shared" si="2"/>
        <v>#NUM!</v>
      </c>
    </row>
    <row r="12" spans="1:8" x14ac:dyDescent="0.2">
      <c r="A12"/>
      <c r="B12"/>
      <c r="C12" s="19"/>
      <c r="D12" s="7" t="e">
        <f t="shared" ca="1" si="1"/>
        <v>#REF!</v>
      </c>
      <c r="E12" s="7" t="e">
        <f t="shared" ca="1" si="0"/>
        <v>#REF!</v>
      </c>
      <c r="F12" s="8" t="e">
        <f t="shared" si="2"/>
        <v>#NUM!</v>
      </c>
    </row>
    <row r="13" spans="1:8" x14ac:dyDescent="0.2">
      <c r="A13"/>
      <c r="B13"/>
      <c r="C13" s="19"/>
      <c r="D13" s="7" t="e">
        <f t="shared" ca="1" si="1"/>
        <v>#REF!</v>
      </c>
      <c r="E13" s="7" t="e">
        <f t="shared" ca="1" si="0"/>
        <v>#REF!</v>
      </c>
      <c r="F13" s="8" t="e">
        <f t="shared" si="2"/>
        <v>#NUM!</v>
      </c>
    </row>
    <row r="14" spans="1:8" x14ac:dyDescent="0.2">
      <c r="A14"/>
      <c r="B14"/>
      <c r="C14" s="19"/>
      <c r="D14" s="7" t="e">
        <f t="shared" ca="1" si="1"/>
        <v>#REF!</v>
      </c>
      <c r="E14" s="7" t="e">
        <f t="shared" ca="1" si="0"/>
        <v>#REF!</v>
      </c>
      <c r="F14" s="8" t="e">
        <f t="shared" si="2"/>
        <v>#NUM!</v>
      </c>
    </row>
    <row r="15" spans="1:8" x14ac:dyDescent="0.2">
      <c r="A15"/>
      <c r="B15"/>
      <c r="C15" s="19"/>
      <c r="D15" s="7" t="e">
        <f t="shared" ca="1" si="1"/>
        <v>#REF!</v>
      </c>
      <c r="E15" s="7" t="e">
        <f t="shared" ca="1" si="0"/>
        <v>#REF!</v>
      </c>
      <c r="F15" s="8" t="e">
        <f t="shared" si="2"/>
        <v>#NUM!</v>
      </c>
    </row>
    <row r="16" spans="1:8" x14ac:dyDescent="0.2">
      <c r="A16"/>
      <c r="B16"/>
      <c r="C16" s="19"/>
      <c r="D16" s="7" t="e">
        <f t="shared" ca="1" si="1"/>
        <v>#REF!</v>
      </c>
      <c r="E16" s="7" t="e">
        <f t="shared" ca="1" si="0"/>
        <v>#REF!</v>
      </c>
      <c r="F16" s="8" t="e">
        <f t="shared" si="2"/>
        <v>#NUM!</v>
      </c>
    </row>
    <row r="17" spans="1:6" x14ac:dyDescent="0.2">
      <c r="A17"/>
      <c r="B17"/>
      <c r="C17" s="19"/>
      <c r="D17" s="7" t="e">
        <f t="shared" ca="1" si="1"/>
        <v>#REF!</v>
      </c>
      <c r="E17" s="7" t="e">
        <f t="shared" ca="1" si="0"/>
        <v>#REF!</v>
      </c>
      <c r="F17" s="8" t="e">
        <f t="shared" si="2"/>
        <v>#NUM!</v>
      </c>
    </row>
    <row r="18" spans="1:6" x14ac:dyDescent="0.2">
      <c r="A18"/>
      <c r="B18"/>
      <c r="C18" s="19"/>
      <c r="D18" s="7" t="e">
        <f t="shared" ca="1" si="1"/>
        <v>#REF!</v>
      </c>
      <c r="E18" s="7" t="e">
        <f t="shared" ca="1" si="0"/>
        <v>#REF!</v>
      </c>
      <c r="F18" s="8" t="e">
        <f t="shared" si="2"/>
        <v>#NUM!</v>
      </c>
    </row>
    <row r="19" spans="1:6" x14ac:dyDescent="0.2">
      <c r="A19"/>
      <c r="B19"/>
      <c r="C19" s="19"/>
      <c r="D19" s="7" t="e">
        <f t="shared" ca="1" si="1"/>
        <v>#REF!</v>
      </c>
      <c r="E19" s="7" t="e">
        <f t="shared" ca="1" si="0"/>
        <v>#REF!</v>
      </c>
      <c r="F19" s="8" t="e">
        <f t="shared" si="2"/>
        <v>#NUM!</v>
      </c>
    </row>
    <row r="20" spans="1:6" x14ac:dyDescent="0.2">
      <c r="A20"/>
      <c r="B20"/>
      <c r="C20" s="19"/>
      <c r="D20" s="7" t="e">
        <f t="shared" ca="1" si="1"/>
        <v>#REF!</v>
      </c>
      <c r="E20" s="7" t="e">
        <f t="shared" ca="1" si="0"/>
        <v>#REF!</v>
      </c>
      <c r="F20" s="8" t="e">
        <f t="shared" si="2"/>
        <v>#NUM!</v>
      </c>
    </row>
    <row r="21" spans="1:6" x14ac:dyDescent="0.2">
      <c r="A21"/>
      <c r="B21"/>
      <c r="C21" s="19"/>
      <c r="D21" s="7" t="e">
        <f t="shared" ca="1" si="1"/>
        <v>#REF!</v>
      </c>
      <c r="E21" s="7" t="e">
        <f t="shared" ca="1" si="0"/>
        <v>#REF!</v>
      </c>
      <c r="F21" s="8" t="e">
        <f t="shared" si="2"/>
        <v>#NUM!</v>
      </c>
    </row>
    <row r="22" spans="1:6" x14ac:dyDescent="0.2">
      <c r="A22"/>
      <c r="B22"/>
      <c r="C22" s="19"/>
      <c r="D22" s="7" t="e">
        <f t="shared" ca="1" si="1"/>
        <v>#REF!</v>
      </c>
      <c r="E22" s="7" t="e">
        <f t="shared" ca="1" si="0"/>
        <v>#REF!</v>
      </c>
      <c r="F22" s="8" t="e">
        <f t="shared" si="2"/>
        <v>#NUM!</v>
      </c>
    </row>
    <row r="23" spans="1:6" x14ac:dyDescent="0.2">
      <c r="A23"/>
      <c r="B23" s="19"/>
      <c r="C23" s="19"/>
      <c r="D23" s="7" t="e">
        <f t="shared" ca="1" si="1"/>
        <v>#REF!</v>
      </c>
      <c r="E23" s="7" t="e">
        <f t="shared" ca="1" si="0"/>
        <v>#REF!</v>
      </c>
      <c r="F23" s="8" t="e">
        <f t="shared" si="2"/>
        <v>#NUM!</v>
      </c>
    </row>
    <row r="24" spans="1:6" x14ac:dyDescent="0.2">
      <c r="A24"/>
      <c r="B24" s="19"/>
      <c r="C24" s="19"/>
      <c r="D24" s="7" t="e">
        <f t="shared" ca="1" si="1"/>
        <v>#REF!</v>
      </c>
      <c r="E24" s="7" t="e">
        <f t="shared" ca="1" si="0"/>
        <v>#REF!</v>
      </c>
      <c r="F24" s="8" t="e">
        <f t="shared" si="2"/>
        <v>#NUM!</v>
      </c>
    </row>
    <row r="25" spans="1:6" x14ac:dyDescent="0.2">
      <c r="A25"/>
      <c r="B25" s="19"/>
      <c r="C25" s="19"/>
      <c r="D25" s="7" t="e">
        <f t="shared" ca="1" si="1"/>
        <v>#REF!</v>
      </c>
      <c r="E25" s="7" t="e">
        <f t="shared" ca="1" si="0"/>
        <v>#REF!</v>
      </c>
      <c r="F25" s="8" t="e">
        <f t="shared" si="2"/>
        <v>#NUM!</v>
      </c>
    </row>
    <row r="26" spans="1:6" x14ac:dyDescent="0.2">
      <c r="A26"/>
      <c r="B26" s="19"/>
      <c r="C26" s="19"/>
      <c r="D26" s="7" t="e">
        <f t="shared" ca="1" si="1"/>
        <v>#REF!</v>
      </c>
      <c r="E26" s="7" t="e">
        <f t="shared" ca="1" si="0"/>
        <v>#REF!</v>
      </c>
      <c r="F26" s="8" t="e">
        <f t="shared" si="2"/>
        <v>#NUM!</v>
      </c>
    </row>
    <row r="27" spans="1:6" x14ac:dyDescent="0.2">
      <c r="A27"/>
      <c r="B27" s="19"/>
      <c r="C27" s="19"/>
      <c r="D27" s="7" t="e">
        <f t="shared" ca="1" si="1"/>
        <v>#REF!</v>
      </c>
      <c r="E27" s="7" t="e">
        <f t="shared" ca="1" si="0"/>
        <v>#REF!</v>
      </c>
      <c r="F27" s="8" t="e">
        <f t="shared" si="2"/>
        <v>#NUM!</v>
      </c>
    </row>
    <row r="28" spans="1:6" x14ac:dyDescent="0.2">
      <c r="A28"/>
      <c r="B28" s="19"/>
      <c r="C28" s="19"/>
      <c r="D28" s="7" t="e">
        <f t="shared" ca="1" si="1"/>
        <v>#REF!</v>
      </c>
      <c r="E28" s="7" t="e">
        <f t="shared" ca="1" si="0"/>
        <v>#REF!</v>
      </c>
      <c r="F28" s="8" t="e">
        <f t="shared" si="2"/>
        <v>#NUM!</v>
      </c>
    </row>
    <row r="29" spans="1:6" x14ac:dyDescent="0.2">
      <c r="A29"/>
      <c r="B29" s="19"/>
      <c r="C29" s="19"/>
      <c r="D29" s="7" t="e">
        <f t="shared" ca="1" si="1"/>
        <v>#REF!</v>
      </c>
      <c r="E29" s="7" t="e">
        <f t="shared" ca="1" si="0"/>
        <v>#REF!</v>
      </c>
      <c r="F29" s="8" t="e">
        <f t="shared" si="2"/>
        <v>#NUM!</v>
      </c>
    </row>
    <row r="30" spans="1:6" x14ac:dyDescent="0.2">
      <c r="A30"/>
      <c r="B30" s="19"/>
      <c r="C30" s="19"/>
      <c r="D30" s="7" t="e">
        <f t="shared" ca="1" si="1"/>
        <v>#REF!</v>
      </c>
      <c r="E30" s="7" t="e">
        <f t="shared" ca="1" si="0"/>
        <v>#REF!</v>
      </c>
      <c r="F30" s="8" t="e">
        <f t="shared" si="2"/>
        <v>#NUM!</v>
      </c>
    </row>
    <row r="31" spans="1:6" x14ac:dyDescent="0.2">
      <c r="A31"/>
      <c r="B31" s="19"/>
      <c r="C31" s="19"/>
      <c r="D31" s="7" t="e">
        <f t="shared" ca="1" si="1"/>
        <v>#REF!</v>
      </c>
      <c r="E31" s="7" t="e">
        <f t="shared" ca="1" si="0"/>
        <v>#REF!</v>
      </c>
      <c r="F31" s="8" t="e">
        <f t="shared" si="2"/>
        <v>#NUM!</v>
      </c>
    </row>
    <row r="32" spans="1:6" x14ac:dyDescent="0.2">
      <c r="A32"/>
      <c r="B32" s="19"/>
      <c r="C32" s="19"/>
      <c r="D32" s="7" t="e">
        <f t="shared" ca="1" si="1"/>
        <v>#REF!</v>
      </c>
      <c r="E32" s="7" t="e">
        <f t="shared" ca="1" si="0"/>
        <v>#REF!</v>
      </c>
      <c r="F32" s="8" t="e">
        <f t="shared" si="2"/>
        <v>#NUM!</v>
      </c>
    </row>
    <row r="33" spans="1:6" x14ac:dyDescent="0.2">
      <c r="A33"/>
      <c r="B33" s="19"/>
      <c r="C33" s="19"/>
      <c r="D33" s="7" t="e">
        <f t="shared" ca="1" si="1"/>
        <v>#REF!</v>
      </c>
      <c r="E33" s="7" t="e">
        <f t="shared" ca="1" si="0"/>
        <v>#REF!</v>
      </c>
      <c r="F33" s="8" t="e">
        <f t="shared" si="2"/>
        <v>#NUM!</v>
      </c>
    </row>
    <row r="34" spans="1:6" x14ac:dyDescent="0.2">
      <c r="A34"/>
      <c r="B34" s="19"/>
      <c r="C34" s="19"/>
      <c r="D34" s="7" t="e">
        <f t="shared" ca="1" si="1"/>
        <v>#REF!</v>
      </c>
      <c r="E34" s="7" t="e">
        <f t="shared" ref="E34:E55" ca="1" si="3">SUM(OFFSET($C$1,0,0,ROW(C34)-1,1))/n</f>
        <v>#REF!</v>
      </c>
      <c r="F34" s="8" t="e">
        <f t="shared" si="2"/>
        <v>#NUM!</v>
      </c>
    </row>
    <row r="35" spans="1:6" x14ac:dyDescent="0.2">
      <c r="A35"/>
      <c r="B35" s="19"/>
      <c r="C35" s="19"/>
      <c r="D35" s="7" t="e">
        <f t="shared" ca="1" si="1"/>
        <v>#REF!</v>
      </c>
      <c r="E35" s="7" t="e">
        <f t="shared" ca="1" si="3"/>
        <v>#REF!</v>
      </c>
      <c r="F35" s="8" t="e">
        <f t="shared" si="2"/>
        <v>#NUM!</v>
      </c>
    </row>
    <row r="36" spans="1:6" x14ac:dyDescent="0.2">
      <c r="A36"/>
      <c r="B36" s="19"/>
      <c r="C36" s="19"/>
      <c r="D36" s="7" t="e">
        <f t="shared" ca="1" si="1"/>
        <v>#REF!</v>
      </c>
      <c r="E36" s="7" t="e">
        <f t="shared" ca="1" si="3"/>
        <v>#REF!</v>
      </c>
      <c r="F36" s="8" t="e">
        <f t="shared" si="2"/>
        <v>#NUM!</v>
      </c>
    </row>
    <row r="37" spans="1:6" x14ac:dyDescent="0.2">
      <c r="A37"/>
      <c r="B37" s="19"/>
      <c r="C37" s="19"/>
      <c r="D37" s="7" t="e">
        <f t="shared" ca="1" si="1"/>
        <v>#REF!</v>
      </c>
      <c r="E37" s="7" t="e">
        <f t="shared" ca="1" si="3"/>
        <v>#REF!</v>
      </c>
      <c r="F37" s="8" t="e">
        <f t="shared" si="2"/>
        <v>#NUM!</v>
      </c>
    </row>
    <row r="38" spans="1:6" x14ac:dyDescent="0.2">
      <c r="A38"/>
      <c r="B38" s="19"/>
      <c r="C38" s="19"/>
      <c r="D38" s="7" t="e">
        <f t="shared" ca="1" si="1"/>
        <v>#REF!</v>
      </c>
      <c r="E38" s="7" t="e">
        <f t="shared" ca="1" si="3"/>
        <v>#REF!</v>
      </c>
      <c r="F38" s="8" t="e">
        <f t="shared" si="2"/>
        <v>#NUM!</v>
      </c>
    </row>
    <row r="39" spans="1:6" x14ac:dyDescent="0.2">
      <c r="A39"/>
      <c r="B39" s="19"/>
      <c r="C39" s="19"/>
      <c r="D39" s="7" t="e">
        <f t="shared" ca="1" si="1"/>
        <v>#REF!</v>
      </c>
      <c r="E39" s="7" t="e">
        <f t="shared" ca="1" si="3"/>
        <v>#REF!</v>
      </c>
      <c r="F39" s="8" t="e">
        <f t="shared" si="2"/>
        <v>#NUM!</v>
      </c>
    </row>
    <row r="40" spans="1:6" x14ac:dyDescent="0.2">
      <c r="A40"/>
      <c r="B40" s="19"/>
      <c r="C40" s="19"/>
      <c r="D40" s="7" t="e">
        <f t="shared" ca="1" si="1"/>
        <v>#REF!</v>
      </c>
      <c r="E40" s="7" t="e">
        <f t="shared" ca="1" si="3"/>
        <v>#REF!</v>
      </c>
      <c r="F40" s="8" t="e">
        <f t="shared" si="2"/>
        <v>#NUM!</v>
      </c>
    </row>
    <row r="41" spans="1:6" x14ac:dyDescent="0.2">
      <c r="A41"/>
      <c r="B41" s="19"/>
      <c r="C41" s="19"/>
      <c r="D41" s="7" t="e">
        <f t="shared" ca="1" si="1"/>
        <v>#REF!</v>
      </c>
      <c r="E41" s="7" t="e">
        <f t="shared" ca="1" si="3"/>
        <v>#REF!</v>
      </c>
      <c r="F41" s="8" t="e">
        <f t="shared" si="2"/>
        <v>#NUM!</v>
      </c>
    </row>
    <row r="42" spans="1:6" x14ac:dyDescent="0.2">
      <c r="A42"/>
      <c r="B42" s="19"/>
      <c r="C42" s="19"/>
      <c r="D42" s="7" t="e">
        <f t="shared" ca="1" si="1"/>
        <v>#REF!</v>
      </c>
      <c r="E42" s="7" t="e">
        <f t="shared" ca="1" si="3"/>
        <v>#REF!</v>
      </c>
      <c r="F42" s="8" t="e">
        <f t="shared" si="2"/>
        <v>#NUM!</v>
      </c>
    </row>
    <row r="43" spans="1:6" x14ac:dyDescent="0.2">
      <c r="A43"/>
      <c r="B43" s="19"/>
      <c r="C43" s="19"/>
      <c r="D43" s="7" t="e">
        <f t="shared" ca="1" si="1"/>
        <v>#REF!</v>
      </c>
      <c r="E43" s="7" t="e">
        <f t="shared" ca="1" si="3"/>
        <v>#REF!</v>
      </c>
      <c r="F43" s="8" t="e">
        <f t="shared" si="2"/>
        <v>#NUM!</v>
      </c>
    </row>
    <row r="44" spans="1:6" x14ac:dyDescent="0.2">
      <c r="A44"/>
      <c r="B44" s="19"/>
      <c r="C44" s="19"/>
      <c r="D44" s="7" t="e">
        <f t="shared" ca="1" si="1"/>
        <v>#REF!</v>
      </c>
      <c r="E44" s="7" t="e">
        <f t="shared" ca="1" si="3"/>
        <v>#REF!</v>
      </c>
      <c r="F44" s="8" t="e">
        <f t="shared" si="2"/>
        <v>#NUM!</v>
      </c>
    </row>
    <row r="45" spans="1:6" x14ac:dyDescent="0.2">
      <c r="A45"/>
      <c r="B45" s="19"/>
      <c r="C45" s="19"/>
      <c r="D45" s="7" t="e">
        <f t="shared" ca="1" si="1"/>
        <v>#REF!</v>
      </c>
      <c r="E45" s="7" t="e">
        <f t="shared" ca="1" si="3"/>
        <v>#REF!</v>
      </c>
      <c r="F45" s="8" t="e">
        <f t="shared" si="2"/>
        <v>#NUM!</v>
      </c>
    </row>
    <row r="46" spans="1:6" x14ac:dyDescent="0.2">
      <c r="A46"/>
      <c r="B46" s="19"/>
      <c r="C46" s="19"/>
      <c r="D46" s="7" t="e">
        <f t="shared" ca="1" si="1"/>
        <v>#REF!</v>
      </c>
      <c r="E46" s="7" t="e">
        <f t="shared" ca="1" si="3"/>
        <v>#REF!</v>
      </c>
      <c r="F46" s="8" t="e">
        <f t="shared" si="2"/>
        <v>#NUM!</v>
      </c>
    </row>
    <row r="47" spans="1:6" x14ac:dyDescent="0.2">
      <c r="A47"/>
      <c r="B47" s="19"/>
      <c r="C47" s="19"/>
      <c r="D47" s="7" t="e">
        <f t="shared" ca="1" si="1"/>
        <v>#REF!</v>
      </c>
      <c r="E47" s="7" t="e">
        <f t="shared" ca="1" si="3"/>
        <v>#REF!</v>
      </c>
      <c r="F47" s="8" t="e">
        <f t="shared" si="2"/>
        <v>#NUM!</v>
      </c>
    </row>
    <row r="48" spans="1:6" x14ac:dyDescent="0.2">
      <c r="A48"/>
      <c r="B48" s="19"/>
      <c r="C48" s="19"/>
      <c r="D48" s="7" t="e">
        <f t="shared" ca="1" si="1"/>
        <v>#REF!</v>
      </c>
      <c r="E48" s="7" t="e">
        <f t="shared" ca="1" si="3"/>
        <v>#REF!</v>
      </c>
      <c r="F48" s="8" t="e">
        <f t="shared" si="2"/>
        <v>#NUM!</v>
      </c>
    </row>
    <row r="49" spans="1:6" x14ac:dyDescent="0.2">
      <c r="A49"/>
      <c r="B49" s="19"/>
      <c r="C49" s="19"/>
      <c r="D49" s="7" t="e">
        <f t="shared" ca="1" si="1"/>
        <v>#REF!</v>
      </c>
      <c r="E49" s="7" t="e">
        <f t="shared" ca="1" si="3"/>
        <v>#REF!</v>
      </c>
      <c r="F49" s="8" t="e">
        <f t="shared" si="2"/>
        <v>#NUM!</v>
      </c>
    </row>
    <row r="50" spans="1:6" x14ac:dyDescent="0.2">
      <c r="A50"/>
      <c r="B50" s="19"/>
      <c r="C50" s="19"/>
      <c r="D50" s="7" t="e">
        <f t="shared" ca="1" si="1"/>
        <v>#REF!</v>
      </c>
      <c r="E50" s="7" t="e">
        <f t="shared" ca="1" si="3"/>
        <v>#REF!</v>
      </c>
      <c r="F50" s="8" t="e">
        <f t="shared" si="2"/>
        <v>#NUM!</v>
      </c>
    </row>
    <row r="51" spans="1:6" x14ac:dyDescent="0.2">
      <c r="A51"/>
      <c r="B51" s="19"/>
      <c r="C51" s="19"/>
      <c r="D51" s="7" t="e">
        <f t="shared" ca="1" si="1"/>
        <v>#REF!</v>
      </c>
      <c r="E51" s="7" t="e">
        <f t="shared" ca="1" si="3"/>
        <v>#REF!</v>
      </c>
      <c r="F51" s="8" t="e">
        <f t="shared" si="2"/>
        <v>#NUM!</v>
      </c>
    </row>
    <row r="52" spans="1:6" x14ac:dyDescent="0.2">
      <c r="A52"/>
      <c r="B52" s="19"/>
      <c r="C52" s="19"/>
      <c r="D52" s="7" t="e">
        <f t="shared" ca="1" si="1"/>
        <v>#REF!</v>
      </c>
      <c r="E52" s="7" t="e">
        <f t="shared" ca="1" si="3"/>
        <v>#REF!</v>
      </c>
      <c r="F52" s="8" t="e">
        <f t="shared" si="2"/>
        <v>#NUM!</v>
      </c>
    </row>
    <row r="53" spans="1:6" x14ac:dyDescent="0.2">
      <c r="A53"/>
      <c r="B53" s="19"/>
      <c r="C53" s="19"/>
      <c r="D53" s="7" t="e">
        <f t="shared" ca="1" si="1"/>
        <v>#REF!</v>
      </c>
      <c r="E53" s="7" t="e">
        <f t="shared" ca="1" si="3"/>
        <v>#REF!</v>
      </c>
      <c r="F53" s="8" t="e">
        <f t="shared" si="2"/>
        <v>#NUM!</v>
      </c>
    </row>
    <row r="54" spans="1:6" x14ac:dyDescent="0.2">
      <c r="A54"/>
      <c r="B54" s="19"/>
      <c r="C54" s="19"/>
      <c r="D54" s="7" t="e">
        <f t="shared" ca="1" si="1"/>
        <v>#REF!</v>
      </c>
      <c r="E54" s="7" t="e">
        <f t="shared" ca="1" si="3"/>
        <v>#REF!</v>
      </c>
      <c r="F54" s="8" t="e">
        <f t="shared" si="2"/>
        <v>#NUM!</v>
      </c>
    </row>
    <row r="55" spans="1:6" x14ac:dyDescent="0.2">
      <c r="A55"/>
      <c r="B55" s="19"/>
      <c r="C55" s="19"/>
      <c r="D55" s="7" t="e">
        <f t="shared" ca="1" si="1"/>
        <v>#REF!</v>
      </c>
      <c r="E55" s="7" t="e">
        <f t="shared" ca="1" si="3"/>
        <v>#REF!</v>
      </c>
      <c r="F55" s="8" t="e">
        <f t="shared" si="2"/>
        <v>#NUM!</v>
      </c>
    </row>
    <row r="56" spans="1:6" x14ac:dyDescent="0.2">
      <c r="A56"/>
      <c r="B56" s="19"/>
      <c r="C56" s="20"/>
    </row>
    <row r="57" spans="1:6" x14ac:dyDescent="0.2">
      <c r="A57"/>
      <c r="B57" s="19"/>
      <c r="C57" s="20"/>
    </row>
    <row r="58" spans="1:6" x14ac:dyDescent="0.2">
      <c r="A58"/>
      <c r="B58" s="19"/>
      <c r="C58" s="20"/>
    </row>
    <row r="59" spans="1:6" x14ac:dyDescent="0.2">
      <c r="A59"/>
      <c r="B59" s="19"/>
      <c r="C59" s="20"/>
    </row>
    <row r="60" spans="1:6" x14ac:dyDescent="0.2">
      <c r="A60"/>
      <c r="B60" s="19"/>
    </row>
    <row r="61" spans="1:6" x14ac:dyDescent="0.2">
      <c r="A61"/>
      <c r="B61" s="19"/>
    </row>
    <row r="62" spans="1:6" x14ac:dyDescent="0.2">
      <c r="A62"/>
      <c r="B62" s="19"/>
      <c r="C62" s="18"/>
    </row>
    <row r="63" spans="1:6" x14ac:dyDescent="0.2">
      <c r="A63"/>
      <c r="B63" s="19"/>
      <c r="C63" s="18"/>
    </row>
    <row r="64" spans="1:6" x14ac:dyDescent="0.2">
      <c r="A64"/>
      <c r="B64" s="19"/>
      <c r="C64" s="18"/>
    </row>
    <row r="65" spans="1:3" x14ac:dyDescent="0.2">
      <c r="A65"/>
      <c r="B65" s="19"/>
      <c r="C65" s="18"/>
    </row>
    <row r="66" spans="1:3" x14ac:dyDescent="0.2">
      <c r="A66"/>
      <c r="B66" s="19"/>
      <c r="C66" s="18"/>
    </row>
    <row r="67" spans="1:3" x14ac:dyDescent="0.2">
      <c r="A67"/>
      <c r="B67" s="19"/>
      <c r="C67" s="18"/>
    </row>
    <row r="68" spans="1:3" x14ac:dyDescent="0.2">
      <c r="A68"/>
      <c r="B68" s="19"/>
    </row>
    <row r="69" spans="1:3" x14ac:dyDescent="0.2">
      <c r="A69"/>
      <c r="B69" s="19"/>
    </row>
    <row r="70" spans="1:3" x14ac:dyDescent="0.2">
      <c r="A70"/>
      <c r="B70" s="19"/>
      <c r="C70" s="18"/>
    </row>
    <row r="71" spans="1:3" x14ac:dyDescent="0.2">
      <c r="A71"/>
      <c r="B71" s="19"/>
      <c r="C71" s="18"/>
    </row>
    <row r="72" spans="1:3" x14ac:dyDescent="0.2">
      <c r="A72"/>
      <c r="B72" s="19"/>
    </row>
    <row r="73" spans="1:3" x14ac:dyDescent="0.2">
      <c r="A73"/>
      <c r="B73" s="19"/>
    </row>
    <row r="74" spans="1:3" x14ac:dyDescent="0.2">
      <c r="A74"/>
      <c r="B74" s="19"/>
    </row>
    <row r="75" spans="1:3" x14ac:dyDescent="0.2">
      <c r="A75"/>
      <c r="B75" s="19"/>
    </row>
    <row r="76" spans="1:3" x14ac:dyDescent="0.2">
      <c r="A76"/>
      <c r="B76" s="19"/>
      <c r="C76" s="18"/>
    </row>
    <row r="77" spans="1:3" x14ac:dyDescent="0.2">
      <c r="A77"/>
      <c r="B77" s="19"/>
      <c r="C77" s="18"/>
    </row>
    <row r="78" spans="1:3" x14ac:dyDescent="0.2">
      <c r="A78"/>
      <c r="B78" s="19"/>
    </row>
    <row r="79" spans="1:3" x14ac:dyDescent="0.2">
      <c r="A79"/>
      <c r="B79" s="19"/>
    </row>
    <row r="80" spans="1:3" x14ac:dyDescent="0.2">
      <c r="A80"/>
      <c r="B80" s="19"/>
    </row>
    <row r="81" spans="1:3" x14ac:dyDescent="0.2">
      <c r="A81"/>
      <c r="B81" s="19"/>
    </row>
    <row r="82" spans="1:3" x14ac:dyDescent="0.2">
      <c r="A82"/>
      <c r="B82" s="19"/>
      <c r="C82" s="18"/>
    </row>
    <row r="83" spans="1:3" x14ac:dyDescent="0.2">
      <c r="A83"/>
      <c r="B83" s="19"/>
      <c r="C83" s="18"/>
    </row>
    <row r="84" spans="1:3" x14ac:dyDescent="0.2">
      <c r="A84"/>
      <c r="B84" s="19"/>
    </row>
    <row r="85" spans="1:3" x14ac:dyDescent="0.2">
      <c r="A85"/>
      <c r="B85" s="19"/>
    </row>
    <row r="86" spans="1:3" x14ac:dyDescent="0.2">
      <c r="A86"/>
      <c r="B86" s="19"/>
    </row>
    <row r="87" spans="1:3" x14ac:dyDescent="0.2">
      <c r="A87"/>
      <c r="B87" s="19"/>
    </row>
    <row r="88" spans="1:3" x14ac:dyDescent="0.2">
      <c r="A88"/>
      <c r="B88" s="19"/>
    </row>
    <row r="89" spans="1:3" x14ac:dyDescent="0.2">
      <c r="A89"/>
      <c r="B89" s="19"/>
    </row>
    <row r="90" spans="1:3" x14ac:dyDescent="0.2">
      <c r="A90"/>
      <c r="B90" s="19"/>
      <c r="C90" s="18"/>
    </row>
    <row r="91" spans="1:3" x14ac:dyDescent="0.2">
      <c r="A91"/>
      <c r="B91" s="19"/>
      <c r="C91" s="18"/>
    </row>
    <row r="92" spans="1:3" x14ac:dyDescent="0.2">
      <c r="A92"/>
      <c r="B92" s="19"/>
    </row>
    <row r="93" spans="1:3" x14ac:dyDescent="0.2">
      <c r="A93"/>
      <c r="B93" s="19"/>
      <c r="C93" s="18"/>
    </row>
    <row r="94" spans="1:3" x14ac:dyDescent="0.2">
      <c r="A94"/>
      <c r="B94" s="19"/>
    </row>
    <row r="95" spans="1:3" x14ac:dyDescent="0.2">
      <c r="A95"/>
      <c r="B95" s="19"/>
    </row>
    <row r="96" spans="1:3" x14ac:dyDescent="0.2">
      <c r="A96"/>
      <c r="B96" s="19"/>
    </row>
    <row r="97" spans="1:3" x14ac:dyDescent="0.2">
      <c r="A97"/>
      <c r="B97" s="19"/>
    </row>
    <row r="98" spans="1:3" x14ac:dyDescent="0.2">
      <c r="A98"/>
      <c r="B98" s="19"/>
    </row>
    <row r="99" spans="1:3" x14ac:dyDescent="0.2">
      <c r="A99"/>
      <c r="B99" s="19"/>
    </row>
    <row r="100" spans="1:3" x14ac:dyDescent="0.2">
      <c r="A100"/>
      <c r="B100" s="19"/>
    </row>
    <row r="101" spans="1:3" x14ac:dyDescent="0.2">
      <c r="A101"/>
      <c r="B101" s="19"/>
    </row>
    <row r="102" spans="1:3" x14ac:dyDescent="0.2">
      <c r="A102"/>
      <c r="B102" s="19"/>
    </row>
    <row r="103" spans="1:3" x14ac:dyDescent="0.2">
      <c r="A103"/>
      <c r="B103" s="19"/>
    </row>
    <row r="104" spans="1:3" x14ac:dyDescent="0.2">
      <c r="A104"/>
      <c r="B104" s="19"/>
      <c r="C104" s="18"/>
    </row>
    <row r="105" spans="1:3" x14ac:dyDescent="0.2">
      <c r="A105"/>
      <c r="B105" s="19"/>
      <c r="C105" s="18"/>
    </row>
    <row r="106" spans="1:3" x14ac:dyDescent="0.2">
      <c r="A106"/>
      <c r="B106" s="19"/>
    </row>
    <row r="107" spans="1:3" x14ac:dyDescent="0.2">
      <c r="A107"/>
      <c r="B107" s="19"/>
    </row>
    <row r="108" spans="1:3" x14ac:dyDescent="0.2">
      <c r="A108"/>
      <c r="B108" s="19"/>
    </row>
    <row r="109" spans="1:3" x14ac:dyDescent="0.2">
      <c r="A109"/>
      <c r="B109" s="19"/>
      <c r="C109" s="18"/>
    </row>
    <row r="110" spans="1:3" x14ac:dyDescent="0.2">
      <c r="A110"/>
      <c r="B110" s="19"/>
    </row>
    <row r="111" spans="1:3" x14ac:dyDescent="0.2">
      <c r="A111"/>
      <c r="B111" s="19"/>
      <c r="C111" s="18"/>
    </row>
    <row r="112" spans="1:3" x14ac:dyDescent="0.2">
      <c r="A112"/>
      <c r="B112" s="19"/>
    </row>
    <row r="113" spans="1:3" x14ac:dyDescent="0.2">
      <c r="A113"/>
      <c r="B113" s="19"/>
    </row>
    <row r="114" spans="1:3" x14ac:dyDescent="0.2">
      <c r="A114"/>
      <c r="B114" s="19"/>
      <c r="C114" s="18"/>
    </row>
    <row r="115" spans="1:3" x14ac:dyDescent="0.2">
      <c r="A115"/>
      <c r="B115" s="19"/>
    </row>
    <row r="116" spans="1:3" x14ac:dyDescent="0.2">
      <c r="A116"/>
      <c r="B116" s="19"/>
      <c r="C116" s="18"/>
    </row>
    <row r="117" spans="1:3" x14ac:dyDescent="0.2">
      <c r="A117"/>
      <c r="B117" s="19"/>
    </row>
    <row r="118" spans="1:3" x14ac:dyDescent="0.2">
      <c r="A118"/>
      <c r="B118" s="19"/>
      <c r="C118" s="18"/>
    </row>
    <row r="119" spans="1:3" x14ac:dyDescent="0.2">
      <c r="A119"/>
      <c r="B119" s="19"/>
      <c r="C119" s="18"/>
    </row>
    <row r="120" spans="1:3" x14ac:dyDescent="0.2">
      <c r="A120"/>
      <c r="B120" s="19"/>
      <c r="C120" s="18"/>
    </row>
    <row r="121" spans="1:3" x14ac:dyDescent="0.2">
      <c r="A121"/>
      <c r="B121" s="19"/>
    </row>
    <row r="122" spans="1:3" x14ac:dyDescent="0.2">
      <c r="A122"/>
      <c r="B122" s="19"/>
    </row>
    <row r="123" spans="1:3" x14ac:dyDescent="0.2">
      <c r="A123"/>
      <c r="B123" s="19"/>
    </row>
    <row r="124" spans="1:3" x14ac:dyDescent="0.2">
      <c r="A124"/>
      <c r="B124" s="19"/>
    </row>
    <row r="125" spans="1:3" x14ac:dyDescent="0.2">
      <c r="A125"/>
      <c r="B125" s="19"/>
    </row>
    <row r="126" spans="1:3" x14ac:dyDescent="0.2">
      <c r="A126"/>
      <c r="B126" s="19"/>
    </row>
    <row r="127" spans="1:3" x14ac:dyDescent="0.2">
      <c r="A127"/>
      <c r="B127" s="19"/>
    </row>
    <row r="128" spans="1:3" x14ac:dyDescent="0.2">
      <c r="A128"/>
      <c r="B128" s="19"/>
    </row>
    <row r="129" spans="1:2" x14ac:dyDescent="0.2">
      <c r="A129"/>
      <c r="B129" s="19"/>
    </row>
    <row r="130" spans="1:2" x14ac:dyDescent="0.2">
      <c r="A130"/>
      <c r="B130" s="19"/>
    </row>
    <row r="131" spans="1:2" x14ac:dyDescent="0.2">
      <c r="A131"/>
      <c r="B131" s="19"/>
    </row>
  </sheetData>
  <sortState ref="A2:C22">
    <sortCondition descending="1" ref="B2"/>
    <sortCondition descending="1" ref="C2"/>
    <sortCondition ref="A2"/>
  </sortState>
  <phoneticPr fontId="0" type="noConversion"/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rdenar">
                <anchor moveWithCells="1" sizeWithCells="1">
                  <from>
                    <xdr:col>6</xdr:col>
                    <xdr:colOff>66675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alcular">
                <anchor moveWithCells="1" sizeWithCells="1">
                  <from>
                    <xdr:col>6</xdr:col>
                    <xdr:colOff>66675</xdr:colOff>
                    <xdr:row>6</xdr:row>
                    <xdr:rowOff>123825</xdr:rowOff>
                  </from>
                  <to>
                    <xdr:col>7</xdr:col>
                    <xdr:colOff>447675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borrar">
                <anchor moveWithCells="1" sizeWithCells="1">
                  <from>
                    <xdr:col>6</xdr:col>
                    <xdr:colOff>66675</xdr:colOff>
                    <xdr:row>9</xdr:row>
                    <xdr:rowOff>47625</xdr:rowOff>
                  </from>
                  <to>
                    <xdr:col>7</xdr:col>
                    <xdr:colOff>447675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T101"/>
  <sheetViews>
    <sheetView workbookViewId="0">
      <selection activeCell="P6" sqref="P6:S30"/>
    </sheetView>
  </sheetViews>
  <sheetFormatPr defaultColWidth="11.42578125" defaultRowHeight="12.75" x14ac:dyDescent="0.2"/>
  <cols>
    <col min="1" max="1" width="5.42578125" style="1" bestFit="1" customWidth="1"/>
    <col min="2" max="2" width="13" bestFit="1" customWidth="1"/>
    <col min="3" max="3" width="6.140625" bestFit="1" customWidth="1"/>
    <col min="4" max="4" width="6" bestFit="1" customWidth="1"/>
    <col min="5" max="5" width="5.85546875" bestFit="1" customWidth="1"/>
    <col min="6" max="6" width="12" bestFit="1" customWidth="1"/>
    <col min="7" max="7" width="5.42578125" style="1" bestFit="1" customWidth="1"/>
    <col min="8" max="8" width="13" bestFit="1" customWidth="1"/>
    <col min="9" max="9" width="6.140625" bestFit="1" customWidth="1"/>
    <col min="10" max="10" width="6" bestFit="1" customWidth="1"/>
    <col min="11" max="11" width="5.85546875" bestFit="1" customWidth="1"/>
    <col min="12" max="12" width="12" bestFit="1" customWidth="1"/>
  </cols>
  <sheetData>
    <row r="1" spans="1:20" x14ac:dyDescent="0.2">
      <c r="A1" s="21" t="s">
        <v>3</v>
      </c>
      <c r="B1" s="21"/>
      <c r="C1" s="21"/>
      <c r="D1" s="22" t="s">
        <v>4</v>
      </c>
      <c r="E1" s="22"/>
      <c r="F1" s="22"/>
      <c r="G1" s="21" t="s">
        <v>3</v>
      </c>
      <c r="H1" s="21"/>
      <c r="I1" s="21"/>
      <c r="J1" s="22" t="s">
        <v>4</v>
      </c>
      <c r="K1" s="22"/>
      <c r="L1" s="22"/>
    </row>
    <row r="2" spans="1:20" x14ac:dyDescent="0.2">
      <c r="A2" s="3" t="s">
        <v>1</v>
      </c>
      <c r="B2" s="2" t="s">
        <v>2</v>
      </c>
      <c r="C2" s="2" t="s">
        <v>0</v>
      </c>
      <c r="D2" s="2" t="s">
        <v>1</v>
      </c>
      <c r="E2" s="2" t="s">
        <v>2</v>
      </c>
      <c r="F2" s="2" t="s">
        <v>0</v>
      </c>
      <c r="G2" s="3" t="s">
        <v>1</v>
      </c>
      <c r="H2" s="2" t="s">
        <v>2</v>
      </c>
      <c r="I2" s="2" t="s">
        <v>0</v>
      </c>
      <c r="J2" s="2" t="s">
        <v>1</v>
      </c>
      <c r="K2" s="2" t="s">
        <v>2</v>
      </c>
      <c r="L2" s="2" t="s">
        <v>0</v>
      </c>
      <c r="T2" s="1"/>
    </row>
    <row r="3" spans="1:20" x14ac:dyDescent="0.2">
      <c r="A3" s="1">
        <v>0.02</v>
      </c>
      <c r="B3">
        <f>NORMSINV(A3)</f>
        <v>-2.0537489106318225</v>
      </c>
      <c r="C3">
        <v>0</v>
      </c>
      <c r="D3">
        <v>1</v>
      </c>
      <c r="E3">
        <v>2.5</v>
      </c>
      <c r="F3">
        <f>LN(D3)</f>
        <v>0</v>
      </c>
      <c r="G3" s="1">
        <v>0.01</v>
      </c>
      <c r="H3">
        <f>NORMSINV(G3)</f>
        <v>-2.3263478740408408</v>
      </c>
      <c r="I3">
        <v>0</v>
      </c>
      <c r="J3">
        <v>1</v>
      </c>
      <c r="K3">
        <v>2.5</v>
      </c>
      <c r="L3">
        <f>LN(J3)</f>
        <v>0</v>
      </c>
      <c r="T3" s="1"/>
    </row>
    <row r="4" spans="1:20" x14ac:dyDescent="0.2">
      <c r="A4" s="1">
        <v>0.05</v>
      </c>
      <c r="B4">
        <f>NORMSINV(A4)</f>
        <v>-1.6448536269514726</v>
      </c>
      <c r="C4">
        <v>0</v>
      </c>
      <c r="D4">
        <v>10</v>
      </c>
      <c r="E4">
        <v>2.5</v>
      </c>
      <c r="F4">
        <f>LN(D4)</f>
        <v>2.3025850929940459</v>
      </c>
      <c r="G4" s="1">
        <v>0.02</v>
      </c>
      <c r="H4">
        <f>NORMSINV(G4)</f>
        <v>-2.0537489106318225</v>
      </c>
      <c r="I4">
        <v>0</v>
      </c>
      <c r="J4">
        <v>2</v>
      </c>
      <c r="K4">
        <v>2.5</v>
      </c>
      <c r="L4">
        <f>LN(J4)</f>
        <v>0.69314718055994529</v>
      </c>
    </row>
    <row r="5" spans="1:20" x14ac:dyDescent="0.2">
      <c r="A5" s="1">
        <v>0.1</v>
      </c>
      <c r="B5">
        <f>NORMSINV(A5)</f>
        <v>-1.2815515655446006</v>
      </c>
      <c r="C5">
        <v>0</v>
      </c>
      <c r="D5">
        <v>100</v>
      </c>
      <c r="E5">
        <v>2.5</v>
      </c>
      <c r="F5">
        <f>LN(D5)</f>
        <v>4.6051701859880918</v>
      </c>
      <c r="G5" s="1">
        <v>0.03</v>
      </c>
      <c r="H5">
        <f>NORMSINV(G5)</f>
        <v>-1.8807936081512509</v>
      </c>
      <c r="I5">
        <v>0</v>
      </c>
      <c r="J5">
        <v>3</v>
      </c>
      <c r="K5">
        <v>2.5</v>
      </c>
      <c r="L5">
        <f>LN(J5)</f>
        <v>1.0986122886681098</v>
      </c>
    </row>
    <row r="6" spans="1:20" x14ac:dyDescent="0.2">
      <c r="A6" s="1">
        <v>0.15</v>
      </c>
      <c r="B6">
        <f t="shared" ref="B6:B17" si="0">NORMSINV(A6)</f>
        <v>-1.0364333894937898</v>
      </c>
      <c r="C6">
        <v>0</v>
      </c>
      <c r="D6">
        <v>1000</v>
      </c>
      <c r="E6">
        <v>2.5</v>
      </c>
      <c r="F6">
        <f>LN(D6)</f>
        <v>6.9077552789821368</v>
      </c>
      <c r="G6" s="1">
        <v>0.04</v>
      </c>
      <c r="H6">
        <f t="shared" ref="H6:H69" si="1">NORMSINV(G6)</f>
        <v>-1.7506860712521695</v>
      </c>
      <c r="I6">
        <v>0</v>
      </c>
      <c r="J6">
        <v>4</v>
      </c>
      <c r="K6">
        <v>2.5</v>
      </c>
      <c r="L6">
        <f>LN(J6)</f>
        <v>1.3862943611198906</v>
      </c>
    </row>
    <row r="7" spans="1:20" x14ac:dyDescent="0.2">
      <c r="A7" s="1">
        <v>0.2</v>
      </c>
      <c r="B7">
        <f t="shared" si="0"/>
        <v>-0.84162123357291452</v>
      </c>
      <c r="C7">
        <v>0</v>
      </c>
      <c r="D7">
        <v>10000</v>
      </c>
      <c r="E7">
        <v>2.5</v>
      </c>
      <c r="F7">
        <f>LN(D7)</f>
        <v>9.2103403719761836</v>
      </c>
      <c r="G7" s="1">
        <v>0.05</v>
      </c>
      <c r="H7">
        <f t="shared" si="1"/>
        <v>-1.6448536269514726</v>
      </c>
      <c r="I7">
        <v>0</v>
      </c>
      <c r="J7">
        <v>5</v>
      </c>
      <c r="K7">
        <v>2.5</v>
      </c>
      <c r="L7">
        <f>LN(J7)</f>
        <v>1.6094379124341003</v>
      </c>
    </row>
    <row r="8" spans="1:20" x14ac:dyDescent="0.2">
      <c r="A8" s="1">
        <v>0.3</v>
      </c>
      <c r="B8">
        <f t="shared" si="0"/>
        <v>-0.52440051270804089</v>
      </c>
      <c r="C8">
        <v>0</v>
      </c>
      <c r="G8" s="1">
        <v>0.06</v>
      </c>
      <c r="H8">
        <f t="shared" si="1"/>
        <v>-1.554773594596853</v>
      </c>
      <c r="I8">
        <v>0</v>
      </c>
      <c r="J8">
        <v>6</v>
      </c>
      <c r="K8">
        <v>2.5</v>
      </c>
      <c r="L8">
        <f t="shared" ref="L8:L39" si="2">LN(J8)</f>
        <v>1.791759469228055</v>
      </c>
    </row>
    <row r="9" spans="1:20" x14ac:dyDescent="0.2">
      <c r="A9" s="1">
        <v>0.4</v>
      </c>
      <c r="B9">
        <f t="shared" si="0"/>
        <v>-0.25334710313579978</v>
      </c>
      <c r="C9">
        <v>0</v>
      </c>
      <c r="G9" s="1">
        <v>7.0000000000000007E-2</v>
      </c>
      <c r="H9">
        <f t="shared" si="1"/>
        <v>-1.4757910281791702</v>
      </c>
      <c r="I9">
        <v>0</v>
      </c>
      <c r="J9">
        <v>7</v>
      </c>
      <c r="K9">
        <v>2.5</v>
      </c>
      <c r="L9">
        <f t="shared" si="2"/>
        <v>1.9459101490553132</v>
      </c>
    </row>
    <row r="10" spans="1:20" x14ac:dyDescent="0.2">
      <c r="A10" s="1">
        <v>0.5</v>
      </c>
      <c r="B10">
        <f t="shared" si="0"/>
        <v>0</v>
      </c>
      <c r="C10">
        <v>0</v>
      </c>
      <c r="G10" s="1">
        <v>0.08</v>
      </c>
      <c r="H10">
        <f t="shared" si="1"/>
        <v>-1.4050715603096353</v>
      </c>
      <c r="I10">
        <v>0</v>
      </c>
      <c r="J10">
        <v>8</v>
      </c>
      <c r="K10">
        <v>2.5</v>
      </c>
      <c r="L10">
        <f t="shared" si="2"/>
        <v>2.0794415416798357</v>
      </c>
    </row>
    <row r="11" spans="1:20" x14ac:dyDescent="0.2">
      <c r="A11" s="1">
        <v>0.6</v>
      </c>
      <c r="B11">
        <f t="shared" si="0"/>
        <v>0.25334710313579978</v>
      </c>
      <c r="C11">
        <v>0</v>
      </c>
      <c r="G11" s="1">
        <v>0.09</v>
      </c>
      <c r="H11">
        <f t="shared" si="1"/>
        <v>-1.3407550336902161</v>
      </c>
      <c r="I11">
        <v>0</v>
      </c>
      <c r="J11">
        <v>9</v>
      </c>
      <c r="K11">
        <v>2.5</v>
      </c>
      <c r="L11">
        <f t="shared" si="2"/>
        <v>2.1972245773362196</v>
      </c>
    </row>
    <row r="12" spans="1:20" x14ac:dyDescent="0.2">
      <c r="A12" s="1">
        <v>0.7</v>
      </c>
      <c r="B12">
        <f t="shared" si="0"/>
        <v>0.52440051270804078</v>
      </c>
      <c r="C12">
        <v>0</v>
      </c>
      <c r="G12" s="1">
        <v>0.1</v>
      </c>
      <c r="H12">
        <f t="shared" si="1"/>
        <v>-1.2815515655446006</v>
      </c>
      <c r="I12">
        <v>0</v>
      </c>
      <c r="J12">
        <v>10</v>
      </c>
      <c r="K12">
        <v>2.5</v>
      </c>
      <c r="L12">
        <f t="shared" si="2"/>
        <v>2.3025850929940459</v>
      </c>
    </row>
    <row r="13" spans="1:20" x14ac:dyDescent="0.2">
      <c r="A13" s="1">
        <v>0.8</v>
      </c>
      <c r="B13">
        <f t="shared" si="0"/>
        <v>0.84162123357291474</v>
      </c>
      <c r="C13">
        <v>0</v>
      </c>
      <c r="G13" s="1">
        <v>0.11</v>
      </c>
      <c r="H13">
        <f t="shared" si="1"/>
        <v>-1.2265281200366105</v>
      </c>
      <c r="I13">
        <v>0</v>
      </c>
      <c r="J13">
        <v>20</v>
      </c>
      <c r="K13">
        <v>2.5</v>
      </c>
      <c r="L13">
        <f t="shared" si="2"/>
        <v>2.9957322735539909</v>
      </c>
    </row>
    <row r="14" spans="1:20" x14ac:dyDescent="0.2">
      <c r="A14" s="1">
        <v>0.85</v>
      </c>
      <c r="B14">
        <f t="shared" si="0"/>
        <v>1.0364333894937898</v>
      </c>
      <c r="C14">
        <v>0</v>
      </c>
      <c r="G14" s="1">
        <v>0.12</v>
      </c>
      <c r="H14">
        <f t="shared" si="1"/>
        <v>-1.1749867920660904</v>
      </c>
      <c r="I14">
        <v>0</v>
      </c>
      <c r="J14">
        <v>30</v>
      </c>
      <c r="K14">
        <v>2.5</v>
      </c>
      <c r="L14">
        <f t="shared" si="2"/>
        <v>3.4011973816621555</v>
      </c>
    </row>
    <row r="15" spans="1:20" x14ac:dyDescent="0.2">
      <c r="A15" s="1">
        <v>0.9</v>
      </c>
      <c r="B15">
        <f t="shared" si="0"/>
        <v>1.2815515655446006</v>
      </c>
      <c r="C15">
        <v>0</v>
      </c>
      <c r="G15" s="1">
        <v>0.13</v>
      </c>
      <c r="H15">
        <f t="shared" si="1"/>
        <v>-1.1263911290388013</v>
      </c>
      <c r="I15">
        <v>0</v>
      </c>
      <c r="J15">
        <v>40</v>
      </c>
      <c r="K15">
        <v>2.5</v>
      </c>
      <c r="L15">
        <f t="shared" si="2"/>
        <v>3.6888794541139363</v>
      </c>
    </row>
    <row r="16" spans="1:20" x14ac:dyDescent="0.2">
      <c r="A16" s="1">
        <v>0.95</v>
      </c>
      <c r="B16">
        <f t="shared" si="0"/>
        <v>1.6448536269514715</v>
      </c>
      <c r="C16">
        <v>0</v>
      </c>
      <c r="G16" s="1">
        <v>0.14000000000000001</v>
      </c>
      <c r="H16">
        <f t="shared" si="1"/>
        <v>-1.0803193408149565</v>
      </c>
      <c r="I16">
        <v>0</v>
      </c>
      <c r="J16">
        <v>50</v>
      </c>
      <c r="K16">
        <v>2.5</v>
      </c>
      <c r="L16">
        <f t="shared" si="2"/>
        <v>3.912023005428146</v>
      </c>
    </row>
    <row r="17" spans="1:12" x14ac:dyDescent="0.2">
      <c r="A17" s="1">
        <v>0.98</v>
      </c>
      <c r="B17">
        <f t="shared" si="0"/>
        <v>2.0537489106318221</v>
      </c>
      <c r="C17">
        <v>0</v>
      </c>
      <c r="G17" s="1">
        <v>0.15</v>
      </c>
      <c r="H17">
        <f t="shared" si="1"/>
        <v>-1.0364333894937898</v>
      </c>
      <c r="I17">
        <v>0</v>
      </c>
      <c r="J17">
        <v>60</v>
      </c>
      <c r="K17">
        <v>2.5</v>
      </c>
      <c r="L17">
        <f t="shared" si="2"/>
        <v>4.0943445622221004</v>
      </c>
    </row>
    <row r="18" spans="1:12" x14ac:dyDescent="0.2">
      <c r="G18" s="1">
        <v>0.16</v>
      </c>
      <c r="H18">
        <f t="shared" si="1"/>
        <v>-0.9944578832097497</v>
      </c>
      <c r="I18">
        <v>0</v>
      </c>
      <c r="J18">
        <v>70</v>
      </c>
      <c r="K18">
        <v>2.5</v>
      </c>
      <c r="L18">
        <f t="shared" si="2"/>
        <v>4.2484952420493594</v>
      </c>
    </row>
    <row r="19" spans="1:12" x14ac:dyDescent="0.2">
      <c r="G19" s="1">
        <v>0.17</v>
      </c>
      <c r="H19">
        <f t="shared" si="1"/>
        <v>-0.95416525314619549</v>
      </c>
      <c r="I19">
        <v>0</v>
      </c>
      <c r="J19">
        <v>80</v>
      </c>
      <c r="K19">
        <v>2.5</v>
      </c>
      <c r="L19">
        <f t="shared" si="2"/>
        <v>4.3820266346738812</v>
      </c>
    </row>
    <row r="20" spans="1:12" x14ac:dyDescent="0.2">
      <c r="G20" s="1">
        <v>0.18</v>
      </c>
      <c r="H20">
        <f t="shared" si="1"/>
        <v>-0.91536508784281501</v>
      </c>
      <c r="I20">
        <v>0</v>
      </c>
      <c r="J20">
        <v>90</v>
      </c>
      <c r="K20">
        <v>2.5</v>
      </c>
      <c r="L20">
        <f t="shared" si="2"/>
        <v>4.499809670330265</v>
      </c>
    </row>
    <row r="21" spans="1:12" x14ac:dyDescent="0.2">
      <c r="G21" s="1">
        <v>0.19</v>
      </c>
      <c r="H21">
        <f t="shared" si="1"/>
        <v>-0.87789629505122846</v>
      </c>
      <c r="I21">
        <v>0</v>
      </c>
      <c r="J21">
        <v>100</v>
      </c>
      <c r="K21">
        <v>2.5</v>
      </c>
      <c r="L21">
        <f t="shared" si="2"/>
        <v>4.6051701859880918</v>
      </c>
    </row>
    <row r="22" spans="1:12" x14ac:dyDescent="0.2">
      <c r="G22" s="1">
        <v>0.2</v>
      </c>
      <c r="H22">
        <f t="shared" si="1"/>
        <v>-0.84162123357291452</v>
      </c>
      <c r="I22">
        <v>0</v>
      </c>
      <c r="J22">
        <v>200</v>
      </c>
      <c r="K22">
        <v>2.5</v>
      </c>
      <c r="L22">
        <f t="shared" si="2"/>
        <v>5.2983173665480363</v>
      </c>
    </row>
    <row r="23" spans="1:12" x14ac:dyDescent="0.2">
      <c r="G23" s="1">
        <v>0.21</v>
      </c>
      <c r="H23">
        <f t="shared" si="1"/>
        <v>-0.80642124701824058</v>
      </c>
      <c r="I23">
        <v>0</v>
      </c>
      <c r="J23">
        <v>300</v>
      </c>
      <c r="K23">
        <v>2.5</v>
      </c>
      <c r="L23">
        <f t="shared" si="2"/>
        <v>5.7037824746562009</v>
      </c>
    </row>
    <row r="24" spans="1:12" x14ac:dyDescent="0.2">
      <c r="G24" s="1">
        <v>0.22</v>
      </c>
      <c r="H24">
        <f t="shared" si="1"/>
        <v>-0.77219321418868503</v>
      </c>
      <c r="I24">
        <v>0</v>
      </c>
      <c r="J24">
        <v>400</v>
      </c>
      <c r="K24">
        <v>2.5</v>
      </c>
      <c r="L24">
        <f t="shared" si="2"/>
        <v>5.9914645471079817</v>
      </c>
    </row>
    <row r="25" spans="1:12" x14ac:dyDescent="0.2">
      <c r="G25" s="1">
        <v>0.23</v>
      </c>
      <c r="H25">
        <f t="shared" si="1"/>
        <v>-0.73884684918521393</v>
      </c>
      <c r="I25">
        <v>0</v>
      </c>
      <c r="J25">
        <v>500</v>
      </c>
      <c r="K25">
        <v>2.5</v>
      </c>
      <c r="L25">
        <f t="shared" si="2"/>
        <v>6.2146080984221914</v>
      </c>
    </row>
    <row r="26" spans="1:12" x14ac:dyDescent="0.2">
      <c r="G26" s="1">
        <v>0.24</v>
      </c>
      <c r="H26">
        <f t="shared" si="1"/>
        <v>-0.7063025628400873</v>
      </c>
      <c r="I26">
        <v>0</v>
      </c>
      <c r="J26">
        <v>600</v>
      </c>
      <c r="K26">
        <v>2.5</v>
      </c>
      <c r="L26">
        <f t="shared" si="2"/>
        <v>6.3969296552161463</v>
      </c>
    </row>
    <row r="27" spans="1:12" x14ac:dyDescent="0.2">
      <c r="G27" s="1">
        <v>0.25</v>
      </c>
      <c r="H27">
        <f t="shared" si="1"/>
        <v>-0.67448975019608193</v>
      </c>
      <c r="I27">
        <v>0</v>
      </c>
      <c r="J27">
        <v>700</v>
      </c>
      <c r="K27">
        <v>2.5</v>
      </c>
      <c r="L27">
        <f t="shared" si="2"/>
        <v>6.5510803350434044</v>
      </c>
    </row>
    <row r="28" spans="1:12" x14ac:dyDescent="0.2">
      <c r="G28" s="1">
        <v>0.26</v>
      </c>
      <c r="H28">
        <f t="shared" si="1"/>
        <v>-0.64334540539291696</v>
      </c>
      <c r="I28">
        <v>0</v>
      </c>
      <c r="J28">
        <v>800</v>
      </c>
      <c r="K28">
        <v>2.5</v>
      </c>
      <c r="L28">
        <f t="shared" si="2"/>
        <v>6.6846117276679271</v>
      </c>
    </row>
    <row r="29" spans="1:12" x14ac:dyDescent="0.2">
      <c r="G29" s="1">
        <v>0.27</v>
      </c>
      <c r="H29">
        <f t="shared" si="1"/>
        <v>-0.61281299101662734</v>
      </c>
      <c r="I29">
        <v>0</v>
      </c>
      <c r="J29">
        <v>900</v>
      </c>
      <c r="K29">
        <v>2.5</v>
      </c>
      <c r="L29">
        <f t="shared" si="2"/>
        <v>6.8023947633243109</v>
      </c>
    </row>
    <row r="30" spans="1:12" x14ac:dyDescent="0.2">
      <c r="G30" s="1">
        <v>0.28000000000000003</v>
      </c>
      <c r="H30">
        <f t="shared" si="1"/>
        <v>-0.58284150727121631</v>
      </c>
      <c r="I30">
        <v>0</v>
      </c>
      <c r="J30">
        <v>1000</v>
      </c>
      <c r="K30">
        <v>2.5</v>
      </c>
      <c r="L30">
        <f t="shared" si="2"/>
        <v>6.9077552789821368</v>
      </c>
    </row>
    <row r="31" spans="1:12" x14ac:dyDescent="0.2">
      <c r="G31" s="1">
        <v>0.28999999999999998</v>
      </c>
      <c r="H31">
        <f t="shared" si="1"/>
        <v>-0.55338471955567303</v>
      </c>
      <c r="I31">
        <v>0</v>
      </c>
      <c r="J31">
        <v>2000</v>
      </c>
      <c r="K31">
        <v>2.5</v>
      </c>
      <c r="L31">
        <f t="shared" si="2"/>
        <v>7.6009024595420822</v>
      </c>
    </row>
    <row r="32" spans="1:12" x14ac:dyDescent="0.2">
      <c r="G32" s="1">
        <v>0.3</v>
      </c>
      <c r="H32">
        <f t="shared" si="1"/>
        <v>-0.52440051270804089</v>
      </c>
      <c r="I32">
        <v>0</v>
      </c>
      <c r="J32">
        <v>3000</v>
      </c>
      <c r="K32">
        <v>2.5</v>
      </c>
      <c r="L32">
        <f t="shared" si="2"/>
        <v>8.0063675676502459</v>
      </c>
    </row>
    <row r="33" spans="7:12" x14ac:dyDescent="0.2">
      <c r="G33" s="1">
        <v>0.31</v>
      </c>
      <c r="H33">
        <f t="shared" si="1"/>
        <v>-0.49585034734745354</v>
      </c>
      <c r="I33">
        <v>0</v>
      </c>
      <c r="J33">
        <v>4000</v>
      </c>
      <c r="K33">
        <v>2.5</v>
      </c>
      <c r="L33">
        <f t="shared" si="2"/>
        <v>8.2940496401020276</v>
      </c>
    </row>
    <row r="34" spans="7:12" x14ac:dyDescent="0.2">
      <c r="G34" s="1">
        <v>0.32</v>
      </c>
      <c r="H34">
        <f t="shared" si="1"/>
        <v>-0.46769879911450829</v>
      </c>
      <c r="I34">
        <v>0</v>
      </c>
      <c r="J34">
        <v>5000</v>
      </c>
      <c r="K34">
        <v>2.5</v>
      </c>
      <c r="L34">
        <f t="shared" si="2"/>
        <v>8.5171931914162382</v>
      </c>
    </row>
    <row r="35" spans="7:12" x14ac:dyDescent="0.2">
      <c r="G35" s="1">
        <v>0.33</v>
      </c>
      <c r="H35">
        <f t="shared" si="1"/>
        <v>-0.43991316567323374</v>
      </c>
      <c r="I35">
        <v>0</v>
      </c>
      <c r="J35">
        <v>6000</v>
      </c>
      <c r="K35">
        <v>2.5</v>
      </c>
      <c r="L35">
        <f t="shared" si="2"/>
        <v>8.6995147482101913</v>
      </c>
    </row>
    <row r="36" spans="7:12" x14ac:dyDescent="0.2">
      <c r="G36" s="1">
        <v>0.34</v>
      </c>
      <c r="H36">
        <f t="shared" si="1"/>
        <v>-0.41246312944140484</v>
      </c>
      <c r="I36">
        <v>0</v>
      </c>
      <c r="J36">
        <v>7000</v>
      </c>
      <c r="K36">
        <v>2.5</v>
      </c>
      <c r="L36">
        <f t="shared" si="2"/>
        <v>8.8536654280374503</v>
      </c>
    </row>
    <row r="37" spans="7:12" x14ac:dyDescent="0.2">
      <c r="G37" s="1">
        <v>0.35</v>
      </c>
      <c r="H37">
        <f t="shared" si="1"/>
        <v>-0.38532046640756784</v>
      </c>
      <c r="I37">
        <v>0</v>
      </c>
      <c r="J37">
        <v>8000</v>
      </c>
      <c r="K37">
        <v>2.5</v>
      </c>
      <c r="L37">
        <f t="shared" si="2"/>
        <v>8.987196820661973</v>
      </c>
    </row>
    <row r="38" spans="7:12" x14ac:dyDescent="0.2">
      <c r="G38" s="1">
        <v>0.36</v>
      </c>
      <c r="H38">
        <f t="shared" si="1"/>
        <v>-0.35845879325119384</v>
      </c>
      <c r="I38">
        <v>0</v>
      </c>
      <c r="J38">
        <v>9000</v>
      </c>
      <c r="K38">
        <v>2.5</v>
      </c>
      <c r="L38">
        <f t="shared" si="2"/>
        <v>9.1049798563183568</v>
      </c>
    </row>
    <row r="39" spans="7:12" x14ac:dyDescent="0.2">
      <c r="G39" s="1">
        <v>0.37</v>
      </c>
      <c r="H39">
        <f t="shared" si="1"/>
        <v>-0.33185334643681658</v>
      </c>
      <c r="I39">
        <v>0</v>
      </c>
      <c r="J39">
        <v>10000</v>
      </c>
      <c r="K39">
        <v>2.5</v>
      </c>
      <c r="L39">
        <f t="shared" si="2"/>
        <v>9.2103403719761836</v>
      </c>
    </row>
    <row r="40" spans="7:12" x14ac:dyDescent="0.2">
      <c r="G40" s="1">
        <v>0.38</v>
      </c>
      <c r="H40">
        <f t="shared" si="1"/>
        <v>-0.30548078809939727</v>
      </c>
      <c r="I40">
        <v>0</v>
      </c>
    </row>
    <row r="41" spans="7:12" x14ac:dyDescent="0.2">
      <c r="G41" s="1">
        <v>0.39</v>
      </c>
      <c r="H41">
        <f t="shared" si="1"/>
        <v>-0.27931903444745415</v>
      </c>
      <c r="I41">
        <v>0</v>
      </c>
    </row>
    <row r="42" spans="7:12" x14ac:dyDescent="0.2">
      <c r="G42" s="1">
        <v>0.4</v>
      </c>
      <c r="H42">
        <f t="shared" si="1"/>
        <v>-0.25334710313579978</v>
      </c>
      <c r="I42">
        <v>0</v>
      </c>
    </row>
    <row r="43" spans="7:12" x14ac:dyDescent="0.2">
      <c r="G43" s="1">
        <v>0.41</v>
      </c>
      <c r="H43">
        <f t="shared" si="1"/>
        <v>-0.2275449766411495</v>
      </c>
      <c r="I43">
        <v>0</v>
      </c>
    </row>
    <row r="44" spans="7:12" x14ac:dyDescent="0.2">
      <c r="G44" s="1">
        <v>0.42</v>
      </c>
      <c r="H44">
        <f t="shared" si="1"/>
        <v>-0.20189347914185088</v>
      </c>
      <c r="I44">
        <v>0</v>
      </c>
    </row>
    <row r="45" spans="7:12" x14ac:dyDescent="0.2">
      <c r="G45" s="1">
        <v>0.43</v>
      </c>
      <c r="H45">
        <f t="shared" si="1"/>
        <v>-0.17637416478086138</v>
      </c>
      <c r="I45">
        <v>0</v>
      </c>
    </row>
    <row r="46" spans="7:12" x14ac:dyDescent="0.2">
      <c r="G46" s="1">
        <v>0.44</v>
      </c>
      <c r="H46">
        <f t="shared" si="1"/>
        <v>-0.15096921549677725</v>
      </c>
      <c r="I46">
        <v>0</v>
      </c>
    </row>
    <row r="47" spans="7:12" x14ac:dyDescent="0.2">
      <c r="G47" s="1">
        <v>0.45</v>
      </c>
      <c r="H47">
        <f t="shared" si="1"/>
        <v>-0.12566134685507402</v>
      </c>
      <c r="I47">
        <v>0</v>
      </c>
    </row>
    <row r="48" spans="7:12" x14ac:dyDescent="0.2">
      <c r="G48" s="1">
        <v>0.46</v>
      </c>
      <c r="H48">
        <f t="shared" si="1"/>
        <v>-0.10043372051146976</v>
      </c>
      <c r="I48">
        <v>0</v>
      </c>
    </row>
    <row r="49" spans="7:9" x14ac:dyDescent="0.2">
      <c r="G49" s="1">
        <v>0.47</v>
      </c>
      <c r="H49">
        <f t="shared" si="1"/>
        <v>-7.5269862099829901E-2</v>
      </c>
      <c r="I49">
        <v>0</v>
      </c>
    </row>
    <row r="50" spans="7:9" x14ac:dyDescent="0.2">
      <c r="G50" s="1">
        <v>0.48</v>
      </c>
      <c r="H50">
        <f t="shared" si="1"/>
        <v>-5.0153583464733656E-2</v>
      </c>
      <c r="I50">
        <v>0</v>
      </c>
    </row>
    <row r="51" spans="7:9" x14ac:dyDescent="0.2">
      <c r="G51" s="1">
        <v>0.49</v>
      </c>
      <c r="H51">
        <f t="shared" si="1"/>
        <v>-2.506890825871106E-2</v>
      </c>
      <c r="I51">
        <v>0</v>
      </c>
    </row>
    <row r="52" spans="7:9" x14ac:dyDescent="0.2">
      <c r="G52" s="1">
        <v>0.5</v>
      </c>
      <c r="H52">
        <f t="shared" si="1"/>
        <v>0</v>
      </c>
      <c r="I52">
        <v>0</v>
      </c>
    </row>
    <row r="53" spans="7:9" x14ac:dyDescent="0.2">
      <c r="G53" s="1">
        <v>0.51</v>
      </c>
      <c r="H53">
        <f t="shared" si="1"/>
        <v>2.506890825871106E-2</v>
      </c>
      <c r="I53">
        <v>0</v>
      </c>
    </row>
    <row r="54" spans="7:9" x14ac:dyDescent="0.2">
      <c r="G54" s="1">
        <v>0.52</v>
      </c>
      <c r="H54">
        <f t="shared" si="1"/>
        <v>5.0153583464733656E-2</v>
      </c>
      <c r="I54">
        <v>0</v>
      </c>
    </row>
    <row r="55" spans="7:9" x14ac:dyDescent="0.2">
      <c r="G55" s="1">
        <v>0.53</v>
      </c>
      <c r="H55">
        <f t="shared" si="1"/>
        <v>7.5269862099829901E-2</v>
      </c>
      <c r="I55">
        <v>0</v>
      </c>
    </row>
    <row r="56" spans="7:9" x14ac:dyDescent="0.2">
      <c r="G56" s="1">
        <v>0.54</v>
      </c>
      <c r="H56">
        <f t="shared" si="1"/>
        <v>0.10043372051146988</v>
      </c>
      <c r="I56">
        <v>0</v>
      </c>
    </row>
    <row r="57" spans="7:9" x14ac:dyDescent="0.2">
      <c r="G57" s="1">
        <v>0.55000000000000004</v>
      </c>
      <c r="H57">
        <f t="shared" si="1"/>
        <v>0.12566134685507416</v>
      </c>
      <c r="I57">
        <v>0</v>
      </c>
    </row>
    <row r="58" spans="7:9" x14ac:dyDescent="0.2">
      <c r="G58" s="1">
        <v>0.56000000000000005</v>
      </c>
      <c r="H58">
        <f t="shared" si="1"/>
        <v>0.15096921549677741</v>
      </c>
      <c r="I58">
        <v>0</v>
      </c>
    </row>
    <row r="59" spans="7:9" x14ac:dyDescent="0.2">
      <c r="G59" s="1">
        <v>0.56999999999999995</v>
      </c>
      <c r="H59">
        <f t="shared" si="1"/>
        <v>0.17637416478086121</v>
      </c>
      <c r="I59">
        <v>0</v>
      </c>
    </row>
    <row r="60" spans="7:9" x14ac:dyDescent="0.2">
      <c r="G60" s="1">
        <v>0.57999999999999996</v>
      </c>
      <c r="H60">
        <f t="shared" si="1"/>
        <v>0.20189347914185077</v>
      </c>
      <c r="I60">
        <v>0</v>
      </c>
    </row>
    <row r="61" spans="7:9" x14ac:dyDescent="0.2">
      <c r="G61" s="1">
        <v>0.59</v>
      </c>
      <c r="H61">
        <f t="shared" si="1"/>
        <v>0.22754497664114934</v>
      </c>
      <c r="I61">
        <v>0</v>
      </c>
    </row>
    <row r="62" spans="7:9" x14ac:dyDescent="0.2">
      <c r="G62" s="1">
        <v>0.6</v>
      </c>
      <c r="H62">
        <f t="shared" si="1"/>
        <v>0.25334710313579978</v>
      </c>
      <c r="I62">
        <v>0</v>
      </c>
    </row>
    <row r="63" spans="7:9" x14ac:dyDescent="0.2">
      <c r="G63" s="1">
        <v>0.61</v>
      </c>
      <c r="H63">
        <f t="shared" si="1"/>
        <v>0.27931903444745415</v>
      </c>
      <c r="I63">
        <v>0</v>
      </c>
    </row>
    <row r="64" spans="7:9" x14ac:dyDescent="0.2">
      <c r="G64" s="1">
        <v>0.62</v>
      </c>
      <c r="H64">
        <f t="shared" si="1"/>
        <v>0.30548078809939727</v>
      </c>
      <c r="I64">
        <v>0</v>
      </c>
    </row>
    <row r="65" spans="7:9" x14ac:dyDescent="0.2">
      <c r="G65" s="1">
        <v>0.63</v>
      </c>
      <c r="H65">
        <f t="shared" si="1"/>
        <v>0.33185334643681658</v>
      </c>
      <c r="I65">
        <v>0</v>
      </c>
    </row>
    <row r="66" spans="7:9" x14ac:dyDescent="0.2">
      <c r="G66" s="1">
        <v>0.64</v>
      </c>
      <c r="H66">
        <f t="shared" si="1"/>
        <v>0.35845879325119384</v>
      </c>
      <c r="I66">
        <v>0</v>
      </c>
    </row>
    <row r="67" spans="7:9" x14ac:dyDescent="0.2">
      <c r="G67" s="1">
        <v>0.65</v>
      </c>
      <c r="H67">
        <f t="shared" si="1"/>
        <v>0.38532046640756784</v>
      </c>
      <c r="I67">
        <v>0</v>
      </c>
    </row>
    <row r="68" spans="7:9" x14ac:dyDescent="0.2">
      <c r="G68" s="1">
        <v>0.66</v>
      </c>
      <c r="H68">
        <f t="shared" si="1"/>
        <v>0.41246312944140473</v>
      </c>
      <c r="I68">
        <v>0</v>
      </c>
    </row>
    <row r="69" spans="7:9" x14ac:dyDescent="0.2">
      <c r="G69" s="1">
        <v>0.67</v>
      </c>
      <c r="H69">
        <f t="shared" si="1"/>
        <v>0.43991316567323396</v>
      </c>
      <c r="I69">
        <v>0</v>
      </c>
    </row>
    <row r="70" spans="7:9" x14ac:dyDescent="0.2">
      <c r="G70" s="1">
        <v>0.68</v>
      </c>
      <c r="H70">
        <f t="shared" ref="H70:H101" si="3">NORMSINV(G70)</f>
        <v>0.46769879911450835</v>
      </c>
      <c r="I70">
        <v>0</v>
      </c>
    </row>
    <row r="71" spans="7:9" x14ac:dyDescent="0.2">
      <c r="G71" s="1">
        <v>0.69</v>
      </c>
      <c r="H71">
        <f t="shared" si="3"/>
        <v>0.49585034734745331</v>
      </c>
      <c r="I71">
        <v>0</v>
      </c>
    </row>
    <row r="72" spans="7:9" x14ac:dyDescent="0.2">
      <c r="G72" s="1">
        <v>0.7</v>
      </c>
      <c r="H72">
        <f t="shared" si="3"/>
        <v>0.52440051270804078</v>
      </c>
      <c r="I72">
        <v>0</v>
      </c>
    </row>
    <row r="73" spans="7:9" x14ac:dyDescent="0.2">
      <c r="G73" s="1">
        <v>0.71</v>
      </c>
      <c r="H73">
        <f t="shared" si="3"/>
        <v>0.5533847195556727</v>
      </c>
      <c r="I73">
        <v>0</v>
      </c>
    </row>
    <row r="74" spans="7:9" x14ac:dyDescent="0.2">
      <c r="G74" s="1">
        <v>0.72</v>
      </c>
      <c r="H74">
        <f t="shared" si="3"/>
        <v>0.58284150727121631</v>
      </c>
      <c r="I74">
        <v>0</v>
      </c>
    </row>
    <row r="75" spans="7:9" x14ac:dyDescent="0.2">
      <c r="G75" s="1">
        <v>0.73</v>
      </c>
      <c r="H75">
        <f t="shared" si="3"/>
        <v>0.61281299101662734</v>
      </c>
      <c r="I75">
        <v>0</v>
      </c>
    </row>
    <row r="76" spans="7:9" x14ac:dyDescent="0.2">
      <c r="G76" s="1">
        <v>0.74</v>
      </c>
      <c r="H76">
        <f t="shared" si="3"/>
        <v>0.64334540539291696</v>
      </c>
      <c r="I76">
        <v>0</v>
      </c>
    </row>
    <row r="77" spans="7:9" x14ac:dyDescent="0.2">
      <c r="G77" s="1">
        <v>0.75</v>
      </c>
      <c r="H77">
        <f t="shared" si="3"/>
        <v>0.67448975019608193</v>
      </c>
      <c r="I77">
        <v>0</v>
      </c>
    </row>
    <row r="78" spans="7:9" x14ac:dyDescent="0.2">
      <c r="G78" s="1">
        <v>0.76</v>
      </c>
      <c r="H78">
        <f t="shared" si="3"/>
        <v>0.7063025628400873</v>
      </c>
      <c r="I78">
        <v>0</v>
      </c>
    </row>
    <row r="79" spans="7:9" x14ac:dyDescent="0.2">
      <c r="G79" s="1">
        <v>0.77</v>
      </c>
      <c r="H79">
        <f t="shared" si="3"/>
        <v>0.73884684918521393</v>
      </c>
      <c r="I79">
        <v>0</v>
      </c>
    </row>
    <row r="80" spans="7:9" x14ac:dyDescent="0.2">
      <c r="G80" s="1">
        <v>0.78</v>
      </c>
      <c r="H80">
        <f t="shared" si="3"/>
        <v>0.77219321418868503</v>
      </c>
      <c r="I80">
        <v>0</v>
      </c>
    </row>
    <row r="81" spans="7:9" x14ac:dyDescent="0.2">
      <c r="G81" s="1">
        <v>0.79</v>
      </c>
      <c r="H81">
        <f t="shared" si="3"/>
        <v>0.80642124701824058</v>
      </c>
      <c r="I81">
        <v>0</v>
      </c>
    </row>
    <row r="82" spans="7:9" x14ac:dyDescent="0.2">
      <c r="G82" s="1">
        <v>0.8</v>
      </c>
      <c r="H82">
        <f t="shared" si="3"/>
        <v>0.84162123357291474</v>
      </c>
      <c r="I82">
        <v>0</v>
      </c>
    </row>
    <row r="83" spans="7:9" x14ac:dyDescent="0.2">
      <c r="G83" s="1">
        <v>0.81</v>
      </c>
      <c r="H83">
        <f t="shared" si="3"/>
        <v>0.87789629505122857</v>
      </c>
      <c r="I83">
        <v>0</v>
      </c>
    </row>
    <row r="84" spans="7:9" x14ac:dyDescent="0.2">
      <c r="G84" s="1">
        <v>0.82</v>
      </c>
      <c r="H84">
        <f t="shared" si="3"/>
        <v>0.91536508784281256</v>
      </c>
      <c r="I84">
        <v>0</v>
      </c>
    </row>
    <row r="85" spans="7:9" x14ac:dyDescent="0.2">
      <c r="G85" s="1">
        <v>0.83</v>
      </c>
      <c r="H85">
        <f t="shared" si="3"/>
        <v>0.95416525314619549</v>
      </c>
      <c r="I85">
        <v>0</v>
      </c>
    </row>
    <row r="86" spans="7:9" x14ac:dyDescent="0.2">
      <c r="G86" s="1">
        <v>0.84</v>
      </c>
      <c r="H86">
        <f t="shared" si="3"/>
        <v>0.9944578832097497</v>
      </c>
      <c r="I86">
        <v>0</v>
      </c>
    </row>
    <row r="87" spans="7:9" x14ac:dyDescent="0.2">
      <c r="G87" s="1">
        <v>0.85</v>
      </c>
      <c r="H87">
        <f t="shared" si="3"/>
        <v>1.0364333894937898</v>
      </c>
      <c r="I87">
        <v>0</v>
      </c>
    </row>
    <row r="88" spans="7:9" x14ac:dyDescent="0.2">
      <c r="G88" s="1">
        <v>0.86</v>
      </c>
      <c r="H88">
        <f t="shared" si="3"/>
        <v>1.0803193408149565</v>
      </c>
      <c r="I88">
        <v>0</v>
      </c>
    </row>
    <row r="89" spans="7:9" x14ac:dyDescent="0.2">
      <c r="G89" s="1">
        <v>0.87</v>
      </c>
      <c r="H89">
        <f t="shared" si="3"/>
        <v>1.1263911290388013</v>
      </c>
      <c r="I89">
        <v>0</v>
      </c>
    </row>
    <row r="90" spans="7:9" x14ac:dyDescent="0.2">
      <c r="G90" s="1">
        <v>0.88</v>
      </c>
      <c r="H90">
        <f t="shared" si="3"/>
        <v>1.1749867920660904</v>
      </c>
      <c r="I90">
        <v>0</v>
      </c>
    </row>
    <row r="91" spans="7:9" x14ac:dyDescent="0.2">
      <c r="G91" s="1">
        <v>0.89</v>
      </c>
      <c r="H91">
        <f t="shared" si="3"/>
        <v>1.2265281200366105</v>
      </c>
      <c r="I91">
        <v>0</v>
      </c>
    </row>
    <row r="92" spans="7:9" x14ac:dyDescent="0.2">
      <c r="G92" s="1">
        <v>0.9</v>
      </c>
      <c r="H92">
        <f t="shared" si="3"/>
        <v>1.2815515655446006</v>
      </c>
      <c r="I92">
        <v>0</v>
      </c>
    </row>
    <row r="93" spans="7:9" x14ac:dyDescent="0.2">
      <c r="G93" s="1">
        <v>0.91</v>
      </c>
      <c r="H93">
        <f t="shared" si="3"/>
        <v>1.3407550336902161</v>
      </c>
      <c r="I93">
        <v>0</v>
      </c>
    </row>
    <row r="94" spans="7:9" x14ac:dyDescent="0.2">
      <c r="G94" s="1">
        <v>0.92</v>
      </c>
      <c r="H94">
        <f t="shared" si="3"/>
        <v>1.4050715603096329</v>
      </c>
      <c r="I94">
        <v>0</v>
      </c>
    </row>
    <row r="95" spans="7:9" x14ac:dyDescent="0.2">
      <c r="G95" s="1">
        <v>0.93</v>
      </c>
      <c r="H95">
        <f t="shared" si="3"/>
        <v>1.4757910281791713</v>
      </c>
      <c r="I95">
        <v>0</v>
      </c>
    </row>
    <row r="96" spans="7:9" x14ac:dyDescent="0.2">
      <c r="G96" s="1">
        <v>0.94</v>
      </c>
      <c r="H96">
        <f t="shared" si="3"/>
        <v>1.5547735945968528</v>
      </c>
      <c r="I96">
        <v>0</v>
      </c>
    </row>
    <row r="97" spans="7:9" x14ac:dyDescent="0.2">
      <c r="G97" s="1">
        <v>0.95</v>
      </c>
      <c r="H97">
        <f t="shared" si="3"/>
        <v>1.6448536269514715</v>
      </c>
      <c r="I97">
        <v>0</v>
      </c>
    </row>
    <row r="98" spans="7:9" x14ac:dyDescent="0.2">
      <c r="G98" s="1">
        <v>0.96</v>
      </c>
      <c r="H98">
        <f t="shared" si="3"/>
        <v>1.7506860712521695</v>
      </c>
      <c r="I98">
        <v>0</v>
      </c>
    </row>
    <row r="99" spans="7:9" x14ac:dyDescent="0.2">
      <c r="G99" s="1">
        <v>0.97</v>
      </c>
      <c r="H99">
        <f t="shared" si="3"/>
        <v>1.8807936081512504</v>
      </c>
      <c r="I99">
        <v>0</v>
      </c>
    </row>
    <row r="100" spans="7:9" x14ac:dyDescent="0.2">
      <c r="G100" s="1">
        <v>0.98</v>
      </c>
      <c r="H100">
        <f t="shared" si="3"/>
        <v>2.0537489106318221</v>
      </c>
      <c r="I100">
        <v>0</v>
      </c>
    </row>
    <row r="101" spans="7:9" x14ac:dyDescent="0.2">
      <c r="G101" s="1">
        <v>0.99</v>
      </c>
      <c r="H101">
        <f t="shared" si="3"/>
        <v>2.3263478740408408</v>
      </c>
      <c r="I101">
        <v>0</v>
      </c>
    </row>
  </sheetData>
  <mergeCells count="4">
    <mergeCell ref="A1:C1"/>
    <mergeCell ref="D1:F1"/>
    <mergeCell ref="G1:I1"/>
    <mergeCell ref="J1:L1"/>
  </mergeCells>
  <phoneticPr fontId="0" type="noConversion"/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labels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Microsoft.Office.RecordsManagement.PolicyFeatures.ExpirationEventReceiver</Name>
    <Synchronization>Synchronous</Synchronization>
    <Type>10001</Type>
    <SequenceNumber>101</SequenceNumber>
    <Url/>
    <Assembly>Microsoft.Office.Policy, Version=15.0.0.0,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10002</Type>
    <SequenceNumber>102</SequenceNumber>
    <Url/>
    <Assembly>Microsoft.Office.Policy, Version=15.0.0.0,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10004</Type>
    <SequenceNumber>103</SequenceNumber>
    <Url/>
    <Assembly>Microsoft.Office.Policy, Version=15.0.0.0,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10006</Type>
    <SequenceNumber>104</SequenceNumber>
    <Url/>
    <Assembly>Microsoft.Office.Policy, Version=15.0.0.0,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10009</Type>
    <SequenceNumber>105</SequenceNumber>
    <Url/>
    <Assembly>Microsoft.Office.Policy, Version=15.0.0.0, Culture=neutral, PublicKeyToken=71e9bce111e9429c</Assembly>
    <Class>Microsoft.Office.RecordsManagement.Internal.UpdateExpireDate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Shell Document" ma:contentTypeID="0x0101006F0A470EEB1140E7AA14F4CE8A50B54C0001CB1477F4DD432AA86DD56CC3887AF400DA1D33DCF167A540A6E3489784340667" ma:contentTypeVersion="25" ma:contentTypeDescription="Shell Document Content Type" ma:contentTypeScope="" ma:versionID="df7bcf04e4c43156b46bef2e4452084d">
  <xsd:schema xmlns:xsd="http://www.w3.org/2001/XMLSchema" xmlns:xs="http://www.w3.org/2001/XMLSchema" xmlns:p="http://schemas.microsoft.com/office/2006/metadata/properties" xmlns:ns1="http://schemas.microsoft.com/sharepoint/v3" xmlns:ns2="60ee292f-ad89-420d-8817-d309efcfae78" xmlns:ns4="84e24817-08fa-42fb-9da6-6acc8c481bab" targetNamespace="http://schemas.microsoft.com/office/2006/metadata/properties" ma:root="true" ma:fieldsID="0503d3757200ff83576f18a5138919c4" ns1:_="" ns2:_="" ns4:_="">
    <xsd:import namespace="http://schemas.microsoft.com/sharepoint/v3"/>
    <xsd:import namespace="60ee292f-ad89-420d-8817-d309efcfae78"/>
    <xsd:import namespace="84e24817-08fa-42fb-9da6-6acc8c481bab"/>
    <xsd:element name="properties">
      <xsd:complexType>
        <xsd:sequence>
          <xsd:element name="documentManagement">
            <xsd:complexType>
              <xsd:all>
                <xsd:element ref="ns2:_dlc_DocIdUrl" minOccurs="0"/>
                <xsd:element ref="ns1:Shell_x0020_SharePoint_x0020_SAEF_x0020_SecurityClassificationTaxHTField0" minOccurs="0"/>
                <xsd:element ref="ns1:Shell_x0020_SharePoint_x0020_SAEF_x0020_ExportControlClassificationTaxHTField0" minOccurs="0"/>
                <xsd:element ref="ns1:Shell_x0020_SharePoint_x0020_SAEF_x0020_DocumentStatusTaxHTField0" minOccurs="0"/>
                <xsd:element ref="ns1:Shell_x0020_SharePoint_x0020_SAEF_x0020_DocumentTypeTaxHTField0" minOccurs="0"/>
                <xsd:element ref="ns1:Shell_x0020_SharePoint_x0020_SAEF_x0020_Owner" minOccurs="0"/>
                <xsd:element ref="ns1:Shell_x0020_SharePoint_x0020_SAEF_x0020_BusinessTaxHTField0" minOccurs="0"/>
                <xsd:element ref="ns1:Shell_x0020_SharePoint_x0020_SAEF_x0020_BusinessUnitRegionTaxHTField0" minOccurs="0"/>
                <xsd:element ref="ns1:Shell_x0020_SharePoint_x0020_SAEF_x0020_GlobalFunctionTaxHTField0" minOccurs="0"/>
                <xsd:element ref="ns1:Shell_x0020_SharePoint_x0020_SAEF_x0020_BusinessProcessTaxHTField0" minOccurs="0"/>
                <xsd:element ref="ns1:Shell_x0020_SharePoint_x0020_SAEF_x0020_LegalEntityTaxHTField0" minOccurs="0"/>
                <xsd:element ref="ns1:Shell_x0020_SharePoint_x0020_SAEF_x0020_WorkgroupIDTaxHTField0" minOccurs="0"/>
                <xsd:element ref="ns1:Shell_x0020_SharePoint_x0020_SAEF_x0020_SiteCollectionName"/>
                <xsd:element ref="ns1:Shell_x0020_SharePoint_x0020_SAEF_x0020_SiteOwner"/>
                <xsd:element ref="ns1:Shell_x0020_SharePoint_x0020_SAEF_x0020_LanguageTaxHTField0" minOccurs="0"/>
                <xsd:element ref="ns1:Shell_x0020_SharePoint_x0020_SAEF_x0020_CountryOfJurisdictionTaxHTField0" minOccurs="0"/>
                <xsd:element ref="ns1:Shell_x0020_SharePoint_x0020_SAEF_x0020_Collection"/>
                <xsd:element ref="ns1:Shell_x0020_SharePoint_x0020_SAEF_x0020_KeepFileLocal"/>
                <xsd:element ref="ns2:_dlc_DocId" minOccurs="0"/>
                <xsd:element ref="ns2:_dlc_DocIdPersistId" minOccurs="0"/>
                <xsd:element ref="ns1:Shell_x0020_SharePoint_x0020_SAEF_x0020_FilePlanRecordType" minOccurs="0"/>
                <xsd:element ref="ns1:Shell_x0020_SharePoint_x0020_SAEF_x0020_RecordStatus" minOccurs="0"/>
                <xsd:element ref="ns1:Shell_x0020_SharePoint_x0020_SAEF_x0020_Declarer" minOccurs="0"/>
                <xsd:element ref="ns1:Shell_x0020_SharePoint_x0020_SAEF_x0020_IsRecord" minOccurs="0"/>
                <xsd:element ref="ns1:Shell_x0020_SharePoint_x0020_SAEF_x0020_TRIMRecordNumber" minOccurs="0"/>
                <xsd:element ref="ns1:_dlc_Exempt" minOccurs="0"/>
                <xsd:element ref="ns1:_dlc_ExpireDateSaved" minOccurs="0"/>
                <xsd:element ref="ns1:_dlc_ExpireDate" minOccurs="0"/>
                <xsd:element ref="ns1:Shell_x0020_SharePoint_x0020_SIS_x0020_BusinessProcessTaxHTField0" minOccurs="0"/>
                <xsd:element ref="ns2:TaxCatchAll" minOccurs="0"/>
                <xsd:element ref="ns2:TaxCatchAllLabel" minOccurs="0"/>
                <xsd:element ref="ns1:Shell_x0020_SharePoint_x0020_SAEF_x0020_AssetIdentifier" minOccurs="0"/>
                <xsd:element ref="ns1:Shell_x0020_SharePoint_x0020_SIS_x0020_HRFunctionTaxHTField0" minOccurs="0"/>
                <xsd:element ref="ns1:AverageRating" minOccurs="0"/>
                <xsd:element ref="ns1:RatingCount" minOccurs="0"/>
                <xsd:element ref="ns4:LivelinkID" minOccurs="0"/>
                <xsd:element ref="ns4:Folder_x0020_STRUCTURE" minOccurs="0"/>
                <xsd:element ref="ns4:Livelink_x0020_Instance_x0020_Colum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Shell_x0020_SharePoint_x0020_SAEF_x0020_SecurityClassificationTaxHTField0" ma:index="3" ma:taxonomy="true" ma:internalName="Shell_x0020_SharePoint_x0020_SAEF_x0020_SecurityClassificationTaxHTField0" ma:taxonomyFieldName="Shell_x0020_SharePoint_x0020_SAEF_x0020_SecurityClassification" ma:displayName="Security Classification" ma:default="8;#Confidential|e4bc29b2-6e76-48cc-b090-8b544c0802ae" ma:fieldId="{2ce2f798-4e95-48f9-a317-73f854109466}" ma:sspId="e3aebf70-341c-4d91-bdd3-aba9df361687" ma:termSetId="daf890f0-167e-4ee2-a9fd-a81536ed816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ExportControlClassificationTaxHTField0" ma:index="5" ma:taxonomy="true" ma:internalName="Shell_x0020_SharePoint_x0020_SAEF_x0020_ExportControlClassificationTaxHTField0" ma:taxonomyFieldName="Shell_x0020_SharePoint_x0020_SAEF_x0020_ExportControlClassification" ma:displayName="Export Control" ma:default="9;#Non-US content - Non Controlled|2ac8835e-0587-4096-a6e2-1f68da1e6cb3" ma:fieldId="{334f96ae-8e6f-4bca-bd92-9698e8369ad6}" ma:sspId="e3aebf70-341c-4d91-bdd3-aba9df361687" ma:termSetId="0a37200c-155d-4bd2-8a71-6ee4023d1aa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DocumentStatusTaxHTField0" ma:index="7" ma:taxonomy="true" ma:internalName="Shell_x0020_SharePoint_x0020_SAEF_x0020_DocumentStatusTaxHTField0" ma:taxonomyFieldName="Shell_x0020_SharePoint_x0020_SAEF_x0020_DocumentStatus" ma:displayName="Document Status" ma:default="11;#Draft|1c86f377-7d91-4c95-bd5b-c18c83fe0aa5" ma:fieldId="{627a77c6-2170-43dd-a0ef-eb6a3870ea75}" ma:sspId="e3aebf70-341c-4d91-bdd3-aba9df361687" ma:termSetId="935aba77-d2cb-414d-bb70-87b73a0515d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DocumentTypeTaxHTField0" ma:index="9" ma:taxonomy="true" ma:internalName="Shell_x0020_SharePoint_x0020_SAEF_x0020_DocumentTypeTaxHTField0" ma:taxonomyFieldName="Shell_x0020_SharePoint_x0020_SAEF_x0020_DocumentType" ma:displayName="Document Type" ma:default="" ma:fieldId="{566fdc14-b4fa-46ee-a88e-e2aac7ad2eac}" ma:sspId="e3aebf70-341c-4d91-bdd3-aba9df361687" ma:termSetId="33cf7531-2950-475f-a2b2-d3a9a412c42d" ma:anchorId="c612f0ce-2297-4eb9-807a-d2d5d984dc14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Owner" ma:index="12" nillable="true" ma:displayName="Owner" ma:internalName="Shell_x0020_SharePoint_x0020_SAEF_x0020_Owner">
      <xsd:simpleType>
        <xsd:restriction base="dms:Text"/>
      </xsd:simpleType>
    </xsd:element>
    <xsd:element name="Shell_x0020_SharePoint_x0020_SAEF_x0020_BusinessTaxHTField0" ma:index="15" ma:taxonomy="true" ma:internalName="Shell_x0020_SharePoint_x0020_SAEF_x0020_BusinessTaxHTField0" ma:taxonomyFieldName="Shell_x0020_SharePoint_x0020_SAEF_x0020_Business" ma:displayName="Business" ma:default="1;#Global Functions|97a538f4-23ff-40fe-9c6e-c1dbb6867298" ma:fieldId="{0d7acb72-5c17-4ee6-b184-d60d15597f6a}" ma:sspId="e3aebf70-341c-4d91-bdd3-aba9df361687" ma:termSetId="f928660f-a52c-4d0d-a7a1-af45e8e16dc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BusinessUnitRegionTaxHTField0" ma:index="17" ma:taxonomy="true" ma:internalName="Shell_x0020_SharePoint_x0020_SAEF_x0020_BusinessUnitRegionTaxHTField0" ma:taxonomyFieldName="Shell_x0020_SharePoint_x0020_SAEF_x0020_BusinessUnitRegion" ma:displayName="Business Unit/Region" ma:default="2;#Business Function or Other|874d49cd-70ad-414d-a612-40638fadccae" ma:fieldId="{98984985-015b-4079-8918-b5a01b45e4b3}" ma:sspId="e3aebf70-341c-4d91-bdd3-aba9df361687" ma:termSetId="f928660f-a52c-4d0d-a7a1-af45e8e16dc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GlobalFunctionTaxHTField0" ma:index="19" ma:taxonomy="true" ma:internalName="Shell_x0020_SharePoint_x0020_SAEF_x0020_GlobalFunctionTaxHTField0" ma:taxonomyFieldName="Shell_x0020_SharePoint_x0020_SAEF_x0020_GlobalFunction" ma:displayName="Business Function" ma:default="3;#Human Resources|c247491f-f20d-4827-b936-785e70fab918" ma:fieldId="{1284211f-8330-48b1-a5cc-ec1f0d9b0f7a}" ma:sspId="e3aebf70-341c-4d91-bdd3-aba9df361687" ma:termSetId="354c4cc3-2d4b-4608-9bbd-a538d7fca2d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BusinessProcessTaxHTField0" ma:index="21" nillable="true" ma:taxonomy="true" ma:internalName="Shell_x0020_SharePoint_x0020_SAEF_x0020_BusinessProcessTaxHTField0" ma:taxonomyFieldName="Shell_x0020_SharePoint_x0020_SAEF_x0020_BusinessProcess" ma:displayName="Business Process" ma:default="10;#HR - Global People Process|165c3097-f313-450c-bf1e-f87711cdf9ff" ma:fieldId="{f7493bb9-5348-44de-a787-5c9f505950a2}" ma:sspId="e3aebf70-341c-4d91-bdd3-aba9df361687" ma:termSetId="f105a133-66fc-4406-afa4-8b472c9cdbb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LegalEntityTaxHTField0" ma:index="23" ma:taxonomy="true" ma:internalName="Shell_x0020_SharePoint_x0020_SAEF_x0020_LegalEntityTaxHTField0" ma:taxonomyFieldName="Shell_x0020_SharePoint_x0020_SAEF_x0020_LegalEntity" ma:displayName="Legal Entity" ma:default="4;#Shell International B.V.|9132d9f5-7ca8-4411-8616-d5538f34b7de" ma:fieldId="{529dd253-148e-4d10-9b8c-1444f6695d3b}" ma:sspId="e3aebf70-341c-4d91-bdd3-aba9df361687" ma:termSetId="94b6dd6e-4329-4f68-907b-ed5bdd50f8a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WorkgroupIDTaxHTField0" ma:index="25" ma:taxonomy="true" ma:internalName="Shell_x0020_SharePoint_x0020_SAEF_x0020_WorkgroupIDTaxHTField0" ma:taxonomyFieldName="Shell_x0020_SharePoint_x0020_SAEF_x0020_WorkgroupID" ma:displayName="TRIM Workgroup" ma:default="5;#HRPT_Projects_Technology - xxxxx|c9c1feea-2a2e-48c8-8887-315b4e24af6d" ma:fieldId="{c47cabfe-a1bc-4e26-91b8-d95c8ce41647}" ma:sspId="e3aebf70-341c-4d91-bdd3-aba9df361687" ma:termSetId="85736b86-0546-4c3b-b21c-7ab07eee056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SiteCollectionName" ma:index="27" ma:displayName="Site Collection Name" ma:default="HRPT Subsurface Reservoir Engineering" ma:hidden="true" ma:internalName="Shell_x0020_SharePoint_x0020_SAEF_x0020_SiteCollectionName">
      <xsd:simpleType>
        <xsd:restriction base="dms:Text"/>
      </xsd:simpleType>
    </xsd:element>
    <xsd:element name="Shell_x0020_SharePoint_x0020_SAEF_x0020_SiteOwner" ma:index="28" ma:displayName="Site Owner" ma:default="i:0#.w|europe\marcin.bochenek" ma:hidden="true" ma:internalName="Shell_x0020_SharePoint_x0020_SAEF_x0020_SiteOwner">
      <xsd:simpleType>
        <xsd:restriction base="dms:Text"/>
      </xsd:simpleType>
    </xsd:element>
    <xsd:element name="Shell_x0020_SharePoint_x0020_SAEF_x0020_LanguageTaxHTField0" ma:index="29" ma:taxonomy="true" ma:internalName="Shell_x0020_SharePoint_x0020_SAEF_x0020_LanguageTaxHTField0" ma:taxonomyFieldName="Shell_x0020_SharePoint_x0020_SAEF_x0020_Language" ma:displayName="Language" ma:default="6;#English|bd3ad5ee-f0c3-40aa-8cc8-36ef09940af3" ma:fieldId="{a99e316a-5158-4b34-9a98-5674ef8a1639}" ma:sspId="e3aebf70-341c-4d91-bdd3-aba9df361687" ma:termSetId="b2561cd2-09b2-4dce-b5be-021768df6d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CountryOfJurisdictionTaxHTField0" ma:index="31" ma:taxonomy="true" ma:internalName="Shell_x0020_SharePoint_x0020_SAEF_x0020_CountryOfJurisdictionTaxHTField0" ma:taxonomyFieldName="Shell_x0020_SharePoint_x0020_SAEF_x0020_CountryOfJurisdiction" ma:displayName="Country of Jurisdiction" ma:default="7;#NETHERLANDS|54565ecb-470f-40ea-a584-819150a65a13" ma:fieldId="{dc07035f-7987-48f5-ba88-2d29e2b62c9e}" ma:sspId="e3aebf70-341c-4d91-bdd3-aba9df361687" ma:termSetId="a560ecad-89fd-4dcd-adad-4e15e7baec5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Collection" ma:index="33" ma:displayName="Collection" ma:default="0" ma:hidden="true" ma:internalName="Shell_x0020_SharePoint_x0020_SAEF_x0020_Collection">
      <xsd:simpleType>
        <xsd:restriction base="dms:Boolean"/>
      </xsd:simpleType>
    </xsd:element>
    <xsd:element name="Shell_x0020_SharePoint_x0020_SAEF_x0020_KeepFileLocal" ma:index="34" ma:displayName="Keep File Local" ma:default="0" ma:hidden="true" ma:internalName="Shell_x0020_SharePoint_x0020_SAEF_x0020_KeepFileLocal" ma:readOnly="false">
      <xsd:simpleType>
        <xsd:restriction base="dms:Boolean"/>
      </xsd:simpleType>
    </xsd:element>
    <xsd:element name="Shell_x0020_SharePoint_x0020_SAEF_x0020_FilePlanRecordType" ma:index="42" nillable="true" ma:displayName="File Plan Record Type" ma:hidden="true" ma:internalName="Shell_x0020_SharePoint_x0020_SAEF_x0020_FilePlanRecordType">
      <xsd:simpleType>
        <xsd:restriction base="dms:Text"/>
      </xsd:simpleType>
    </xsd:element>
    <xsd:element name="Shell_x0020_SharePoint_x0020_SAEF_x0020_RecordStatus" ma:index="43" nillable="true" ma:displayName="Record Status" ma:hidden="true" ma:internalName="Shell_x0020_SharePoint_x0020_SAEF_x0020_RecordStatus">
      <xsd:simpleType>
        <xsd:restriction base="dms:Text"/>
      </xsd:simpleType>
    </xsd:element>
    <xsd:element name="Shell_x0020_SharePoint_x0020_SAEF_x0020_Declarer" ma:index="44" nillable="true" ma:displayName="Declarer" ma:hidden="true" ma:internalName="Shell_x0020_SharePoint_x0020_SAEF_x0020_Declarer">
      <xsd:simpleType>
        <xsd:restriction base="dms:Text"/>
      </xsd:simpleType>
    </xsd:element>
    <xsd:element name="Shell_x0020_SharePoint_x0020_SAEF_x0020_IsRecord" ma:index="45" nillable="true" ma:displayName="Is Record" ma:hidden="true" ma:internalName="Shell_x0020_SharePoint_x0020_SAEF_x0020_IsRecord">
      <xsd:simpleType>
        <xsd:restriction base="dms:Text"/>
      </xsd:simpleType>
    </xsd:element>
    <xsd:element name="Shell_x0020_SharePoint_x0020_SAEF_x0020_TRIMRecordNumber" ma:index="46" nillable="true" ma:displayName="TRIM Record Number" ma:hidden="true" ma:internalName="Shell_x0020_SharePoint_x0020_SAEF_x0020_TRIMRecordNumber">
      <xsd:simpleType>
        <xsd:restriction base="dms:Text"/>
      </xsd:simpleType>
    </xsd:element>
    <xsd:element name="_dlc_Exempt" ma:index="47" nillable="true" ma:displayName="Exempt from Policy" ma:hidden="true" ma:internalName="_dlc_Exempt" ma:readOnly="true">
      <xsd:simpleType>
        <xsd:restriction base="dms:Unknown"/>
      </xsd:simpleType>
    </xsd:element>
    <xsd:element name="_dlc_ExpireDateSaved" ma:index="48" nillable="true" ma:displayName="Original Expiration Date" ma:hidden="true" ma:internalName="_dlc_ExpireDateSaved" ma:readOnly="true">
      <xsd:simpleType>
        <xsd:restriction base="dms:DateTime"/>
      </xsd:simpleType>
    </xsd:element>
    <xsd:element name="_dlc_ExpireDate" ma:index="49" nillable="true" ma:displayName="Expiration Date" ma:description="" ma:hidden="true" ma:indexed="true" ma:internalName="_dlc_ExpireDate" ma:readOnly="true">
      <xsd:simpleType>
        <xsd:restriction base="dms:DateTime"/>
      </xsd:simpleType>
    </xsd:element>
    <xsd:element name="Shell_x0020_SharePoint_x0020_SIS_x0020_BusinessProcessTaxHTField0" ma:index="50" nillable="true" ma:taxonomy="true" ma:internalName="Shell_x0020_SharePoint_x0020_SIS_x0020_BusinessProcessTaxHTField0" ma:taxonomyFieldName="Shell_x0020_SharePoint_x0020_SIS_x0020_BusinessProcess" ma:displayName="Business Process" ma:readOnly="false" ma:default="" ma:fieldId="{395c9c88-826e-476a-8589-a4d2c03febe9}" ma:sspId="e3aebf70-341c-4d91-bdd3-aba9df361687" ma:termSetId="33cf7531-2950-475f-a2b2-d3a9a412c42d" ma:anchorId="c9d08b9e-ddad-49b9-b049-79dc76e2c99b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AssetIdentifier" ma:index="53" nillable="true" ma:displayName="Asset Identifier" ma:hidden="true" ma:internalName="Shell_x0020_SharePoint_x0020_SAEF_x0020_AssetIdentifier">
      <xsd:simpleType>
        <xsd:restriction base="dms:Text"/>
      </xsd:simpleType>
    </xsd:element>
    <xsd:element name="Shell_x0020_SharePoint_x0020_SIS_x0020_HRFunctionTaxHTField0" ma:index="54" nillable="true" ma:taxonomy="true" ma:internalName="Shell_x0020_SharePoint_x0020_SIS_x0020_HRFunctionTaxHTField0" ma:taxonomyFieldName="Shell_x0020_SharePoint_x0020_SIS_x0020_HRFunction" ma:displayName="HR Function" ma:readOnly="false" ma:default="" ma:fieldId="{85e7d820-033c-4121-bdd6-d64ac5bdc5e1}" ma:sspId="e3aebf70-341c-4d91-bdd3-aba9df361687" ma:termSetId="33cf7531-2950-475f-a2b2-d3a9a412c42d" ma:anchorId="7da90033-8509-458c-a607-6070c91f75df" ma:open="false" ma:isKeyword="false">
      <xsd:complexType>
        <xsd:sequence>
          <xsd:element ref="pc:Terms" minOccurs="0" maxOccurs="1"/>
        </xsd:sequence>
      </xsd:complexType>
    </xsd:element>
    <xsd:element name="AverageRating" ma:index="56" nillable="true" ma:displayName="Rating (0-5)" ma:decimals="2" ma:description="Average value of all the ratings that have been submitted" ma:hidden="true" ma:internalName="AverageRating" ma:readOnly="true">
      <xsd:simpleType>
        <xsd:restriction base="dms:Number"/>
      </xsd:simpleType>
    </xsd:element>
    <xsd:element name="RatingCount" ma:index="57" nillable="true" ma:displayName="Number of Ratings" ma:decimals="0" ma:description="Number of ratings submitted" ma:hidden="true" ma:internalName="RatingCount" ma:readOnly="tru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ee292f-ad89-420d-8817-d309efcfae78" elementFormDefault="qualified">
    <xsd:import namespace="http://schemas.microsoft.com/office/2006/documentManagement/types"/>
    <xsd:import namespace="http://schemas.microsoft.com/office/infopath/2007/PartnerControls"/>
    <xsd:element name="_dlc_DocIdUrl" ma:index="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" ma:index="39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PersistId" ma:index="41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51" nillable="true" ma:displayName="Taxonomy Catch All Column" ma:description="" ma:hidden="true" ma:list="{7506ec30-8f20-41cf-8cbd-71aea63cc56e}" ma:internalName="TaxCatchAll" ma:showField="CatchAllData" ma:web="60ee292f-ad89-420d-8817-d309efcfae7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52" nillable="true" ma:displayName="Taxonomy Catch All Column1" ma:description="" ma:hidden="true" ma:list="{7506ec30-8f20-41cf-8cbd-71aea63cc56e}" ma:internalName="TaxCatchAllLabel" ma:readOnly="true" ma:showField="CatchAllDataLabel" ma:web="60ee292f-ad89-420d-8817-d309efcfae7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e24817-08fa-42fb-9da6-6acc8c481bab" elementFormDefault="qualified">
    <xsd:import namespace="http://schemas.microsoft.com/office/2006/documentManagement/types"/>
    <xsd:import namespace="http://schemas.microsoft.com/office/infopath/2007/PartnerControls"/>
    <xsd:element name="LivelinkID" ma:index="58" nillable="true" ma:displayName="LivelinkID" ma:indexed="true" ma:internalName="LivelinkID">
      <xsd:simpleType>
        <xsd:restriction base="dms:Text"/>
      </xsd:simpleType>
    </xsd:element>
    <xsd:element name="Folder_x0020_STRUCTURE" ma:index="59" nillable="true" ma:displayName="Folder STRUCTURE" ma:internalName="Folder_x0020_STRUCTURE">
      <xsd:simpleType>
        <xsd:restriction base="dms:Text"/>
      </xsd:simpleType>
    </xsd:element>
    <xsd:element name="Livelink_x0020_Instance_x0020_Column" ma:index="60" nillable="true" ma:displayName="Livelink Instance Column" ma:internalName="Livelink_x0020_Instance_x0020_Column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11" ma:displayName="Author"/>
        <xsd:element ref="dcterms:created" minOccurs="0" maxOccurs="1"/>
        <xsd:element ref="dc:identifier" minOccurs="0" maxOccurs="1"/>
        <xsd:element name="contentType" minOccurs="0" maxOccurs="1" type="xsd:string" ma:index="40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p:Policy xmlns:p="office.server.policy" id="" local="true">
  <p:Name>Shell Document Base</p:Name>
  <p:Description/>
  <p:Statement/>
  <p:PolicyItems>
    <p:PolicyItem featureId="Microsoft.Office.RecordsManagement.PolicyFeatures.Expiration" staticId="0x0101006F0A470EEB1140E7AA14F4CE8A50B54C|1203996477" UniqueId="730cbb8b-3ef5-4f80-a48c-de639888b464">
      <p:Name>Retention</p:Name>
      <p:Description>Automatic scheduling of content for processing, and performing a retention action on content that has reached its due date.</p:Description>
      <p:CustomData>
        <data>
          <formula id="Shell.SharePoint.SIS.IOTV.IOTVExpirationFormula">
            <number>1080</number>
            <property>Modified</property>
            <period>months</period>
          </formula>
          <action type="action" id="Microsoft.Office.RecordsManagement.PolicyFeatures.Expiration.Action.Delete"/>
        </data>
      </p:CustomData>
    </p:PolicyItem>
  </p:PolicyItems>
</p:Policy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Folder_x0020_STRUCTURE xmlns="84e24817-08fa-42fb-9da6-6acc8c481bab">..\Enterprise\P&amp;T - Projects &amp; Technology\HRPT - Learning Organisation\Subsurface\Reservoir Engineering\REO - for Other Disciplines\REO for Other Disciplines\Exercises\Waterflood</Folder_x0020_STRUCTURE>
    <Shell_x0020_SharePoint_x0020_SAEF_x0020_LegalEntity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Shell International B.V.</TermName>
          <TermId xmlns="http://schemas.microsoft.com/office/infopath/2007/PartnerControls">9132d9f5-7ca8-4411-8616-d5538f34b7de</TermId>
        </TermInfo>
      </Terms>
    </Shell_x0020_SharePoint_x0020_SAEF_x0020_LegalEntityTaxHTField0>
    <Shell_x0020_SharePoint_x0020_SAEF_x0020_CountryOfJurisdic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NETHERLANDS</TermName>
          <TermId xmlns="http://schemas.microsoft.com/office/infopath/2007/PartnerControls">54565ecb-470f-40ea-a584-819150a65a13</TermId>
        </TermInfo>
      </Terms>
    </Shell_x0020_SharePoint_x0020_SAEF_x0020_CountryOfJurisdictionTaxHTField0>
    <Shell_x0020_SharePoint_x0020_SAEF_x0020_Business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Global Functions</TermName>
          <TermId xmlns="http://schemas.microsoft.com/office/infopath/2007/PartnerControls">97a538f4-23ff-40fe-9c6e-c1dbb6867298</TermId>
        </TermInfo>
      </Terms>
    </Shell_x0020_SharePoint_x0020_SAEF_x0020_BusinessTaxHTField0>
    <Shell_x0020_SharePoint_x0020_SAEF_x0020_Collection xmlns="http://schemas.microsoft.com/sharepoint/v3">false</Shell_x0020_SharePoint_x0020_SAEF_x0020_Collection>
    <Shell_x0020_SharePoint_x0020_SAEF_x0020_RecordStatus xmlns="http://schemas.microsoft.com/sharepoint/v3" xsi:nil="true"/>
    <Shell_x0020_SharePoint_x0020_SAEF_x0020_ExportControlClassifica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Non-US content - Non Controlled</TermName>
          <TermId xmlns="http://schemas.microsoft.com/office/infopath/2007/PartnerControls">2ac8835e-0587-4096-a6e2-1f68da1e6cb3</TermId>
        </TermInfo>
      </Terms>
    </Shell_x0020_SharePoint_x0020_SAEF_x0020_ExportControlClassificationTaxHTField0>
    <Shell_x0020_SharePoint_x0020_SAEF_x0020_WorkgroupID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HRPT_Projects_Technology - xxxxx</TermName>
          <TermId xmlns="http://schemas.microsoft.com/office/infopath/2007/PartnerControls">c9c1feea-2a2e-48c8-8887-315b4e24af6d</TermId>
        </TermInfo>
      </Terms>
    </Shell_x0020_SharePoint_x0020_SAEF_x0020_WorkgroupIDTaxHTField0>
    <LivelinkID xmlns="84e24817-08fa-42fb-9da6-6acc8c481bab">55496119</LivelinkID>
    <Shell_x0020_SharePoint_x0020_SIS_x0020_BusinessProcessTaxHTField0 xmlns="http://schemas.microsoft.com/sharepoint/v3">
      <Terms xmlns="http://schemas.microsoft.com/office/infopath/2007/PartnerControls"/>
    </Shell_x0020_SharePoint_x0020_SIS_x0020_BusinessProcessTaxHTField0>
    <TaxCatchAll xmlns="60ee292f-ad89-420d-8817-d309efcfae78">
      <Value>11</Value>
      <Value>10</Value>
      <Value>9</Value>
      <Value>8</Value>
      <Value>7</Value>
      <Value>6</Value>
      <Value>5</Value>
      <Value>4</Value>
      <Value>3</Value>
      <Value>2</Value>
      <Value>1</Value>
    </TaxCatchAll>
    <Shell_x0020_SharePoint_x0020_SAEF_x0020_FilePlanRecordType xmlns="http://schemas.microsoft.com/sharepoint/v3" xsi:nil="true"/>
    <Shell_x0020_SharePoint_x0020_SAEF_x0020_BusinessUnitReg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Business Function or Other</TermName>
          <TermId xmlns="http://schemas.microsoft.com/office/infopath/2007/PartnerControls">874d49cd-70ad-414d-a612-40638fadccae</TermId>
        </TermInfo>
      </Terms>
    </Shell_x0020_SharePoint_x0020_SAEF_x0020_BusinessUnitRegionTaxHTField0>
    <Shell_x0020_SharePoint_x0020_SAEF_x0020_BusinessProcess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HR - Global People Process</TermName>
          <TermId xmlns="http://schemas.microsoft.com/office/infopath/2007/PartnerControls">165c3097-f313-450c-bf1e-f87711cdf9ff</TermId>
        </TermInfo>
      </Terms>
    </Shell_x0020_SharePoint_x0020_SAEF_x0020_BusinessProcessTaxHTField0>
    <Shell_x0020_SharePoint_x0020_SAEF_x0020_KeepFileLocal xmlns="http://schemas.microsoft.com/sharepoint/v3">false</Shell_x0020_SharePoint_x0020_SAEF_x0020_KeepFileLocal>
    <Shell_x0020_SharePoint_x0020_SAEF_x0020_DocumentStatus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Draft</TermName>
          <TermId xmlns="http://schemas.microsoft.com/office/infopath/2007/PartnerControls">1c86f377-7d91-4c95-bd5b-c18c83fe0aa5</TermId>
        </TermInfo>
      </Terms>
    </Shell_x0020_SharePoint_x0020_SAEF_x0020_DocumentStatusTaxHTField0>
    <Livelink_x0020_Instance_x0020_Column xmlns="84e24817-08fa-42fb-9da6-6acc8c481bab">TeamSIEP</Livelink_x0020_Instance_x0020_Column>
    <Shell_x0020_SharePoint_x0020_SAEF_x0020_Language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English</TermName>
          <TermId xmlns="http://schemas.microsoft.com/office/infopath/2007/PartnerControls">bd3ad5ee-f0c3-40aa-8cc8-36ef09940af3</TermId>
        </TermInfo>
      </Terms>
    </Shell_x0020_SharePoint_x0020_SAEF_x0020_LanguageTaxHTField0>
    <Shell_x0020_SharePoint_x0020_SAEF_x0020_SiteOwner xmlns="http://schemas.microsoft.com/sharepoint/v3">i:0#.w|europe\marcin.bochenek</Shell_x0020_SharePoint_x0020_SAEF_x0020_SiteOwner>
    <Shell_x0020_SharePoint_x0020_SAEF_x0020_TRIMRecordNumber xmlns="http://schemas.microsoft.com/sharepoint/v3" xsi:nil="true"/>
    <Shell_x0020_SharePoint_x0020_SAEF_x0020_IsRecord xmlns="http://schemas.microsoft.com/sharepoint/v3" xsi:nil="true"/>
    <Shell_x0020_SharePoint_x0020_SAEF_x0020_DocumentTypeTaxHTField0 xmlns="http://schemas.microsoft.com/sharepoint/v3">
      <Terms xmlns="http://schemas.microsoft.com/office/infopath/2007/PartnerControls"/>
    </Shell_x0020_SharePoint_x0020_SAEF_x0020_DocumentTypeTaxHTField0>
    <Shell_x0020_SharePoint_x0020_SAEF_x0020_SiteCollectionName xmlns="http://schemas.microsoft.com/sharepoint/v3">HRPT Subsurface Reservoir Engineering</Shell_x0020_SharePoint_x0020_SAEF_x0020_SiteCollectionName>
    <Shell_x0020_SharePoint_x0020_SIS_x0020_HRFunctionTaxHTField0 xmlns="http://schemas.microsoft.com/sharepoint/v3">
      <Terms xmlns="http://schemas.microsoft.com/office/infopath/2007/PartnerControls"/>
    </Shell_x0020_SharePoint_x0020_SIS_x0020_HRFunctionTaxHTField0>
    <Shell_x0020_SharePoint_x0020_SAEF_x0020_SecurityClassifica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Confidential</TermName>
          <TermId xmlns="http://schemas.microsoft.com/office/infopath/2007/PartnerControls">e4bc29b2-6e76-48cc-b090-8b544c0802ae</TermId>
        </TermInfo>
      </Terms>
    </Shell_x0020_SharePoint_x0020_SAEF_x0020_SecurityClassificationTaxHTField0>
    <Shell_x0020_SharePoint_x0020_SAEF_x0020_Owner xmlns="http://schemas.microsoft.com/sharepoint/v3">europe\sara.cardoso</Shell_x0020_SharePoint_x0020_SAEF_x0020_Owner>
    <Shell_x0020_SharePoint_x0020_SAEF_x0020_GlobalFunc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Human Resources</TermName>
          <TermId xmlns="http://schemas.microsoft.com/office/infopath/2007/PartnerControls">c247491f-f20d-4827-b936-785e70fab918</TermId>
        </TermInfo>
      </Terms>
    </Shell_x0020_SharePoint_x0020_SAEF_x0020_GlobalFunctionTaxHTField0>
    <Shell_x0020_SharePoint_x0020_SAEF_x0020_Declarer xmlns="http://schemas.microsoft.com/sharepoint/v3" xsi:nil="true"/>
    <Shell_x0020_SharePoint_x0020_SAEF_x0020_AssetIdentifier xmlns="http://schemas.microsoft.com/sharepoint/v3" xsi:nil="true"/>
    <_dlc_ExpireDateSaved xmlns="http://schemas.microsoft.com/sharepoint/v3" xsi:nil="true"/>
    <_dlc_ExpireDate xmlns="http://schemas.microsoft.com/sharepoint/v3">2104-11-12T00:00:00+00:00</_dlc_ExpireDate>
    <_dlc_DocId xmlns="60ee292f-ad89-420d-8817-d309efcfae78">AAAAB4093-2-8397</_dlc_DocId>
    <_dlc_DocIdUrl xmlns="60ee292f-ad89-420d-8817-d309efcfae78">
      <Url>https://eu001-sp.shell.com/sites/AAAAB4093/_layouts/15/DocIdRedir.aspx?ID=AAAAB4093-2-8397</Url>
      <Description>AAAAB4093-2-8397</Description>
    </_dlc_DocIdUrl>
  </documentManagement>
</p:properties>
</file>

<file path=customXml/itemProps1.xml><?xml version="1.0" encoding="utf-8"?>
<ds:datastoreItem xmlns:ds="http://schemas.openxmlformats.org/officeDocument/2006/customXml" ds:itemID="{770C4A1F-638D-4511-BD1C-19241A7766D0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BFBD03B6-7046-4BB8-A257-8692E3663C5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B3C0539-038A-4DBF-BE5E-9C35C2B2FD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0ee292f-ad89-420d-8817-d309efcfae78"/>
    <ds:schemaRef ds:uri="84e24817-08fa-42fb-9da6-6acc8c481b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440E6F4-CCFD-4392-9536-A1CC87CF71AA}">
  <ds:schemaRefs>
    <ds:schemaRef ds:uri="office.server.policy"/>
  </ds:schemaRefs>
</ds:datastoreItem>
</file>

<file path=customXml/itemProps5.xml><?xml version="1.0" encoding="utf-8"?>
<ds:datastoreItem xmlns:ds="http://schemas.openxmlformats.org/officeDocument/2006/customXml" ds:itemID="{3F03ACEE-8FFA-4745-B7FD-42FB760BEB0F}">
  <ds:schemaRefs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60ee292f-ad89-420d-8817-d309efcfae78"/>
    <ds:schemaRef ds:uri="http://purl.org/dc/elements/1.1/"/>
    <ds:schemaRef ds:uri="http://schemas.microsoft.com/office/2006/metadata/properties"/>
    <ds:schemaRef ds:uri="84e24817-08fa-42fb-9da6-6acc8c481ba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Coef. variación permeabilidad</vt:lpstr>
      <vt:lpstr>ejes</vt:lpstr>
    </vt:vector>
  </TitlesOfParts>
  <Company>INTESA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Dykstra-Parsons-coefficient-permeability.xlsm</dc:title>
  <dc:creator>linaresm</dc:creator>
  <cp:lastModifiedBy>Umukoro, Charles E SNEPCO-UPO/G/WVH</cp:lastModifiedBy>
  <dcterms:created xsi:type="dcterms:W3CDTF">2004-09-23T11:29:02Z</dcterms:created>
  <dcterms:modified xsi:type="dcterms:W3CDTF">2019-04-26T14:38:15Z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0x0101006F0A470EEB1140E7AA14F4CE8A50B54C0001CB1477F4DD432AA86DD56CC3887AF400DA1D33DCF167A540A6E3489784340667</vt:lpwstr>
  </property>
  <property fmtid="{D5CDD505-2E9C-101B-9397-08002B2CF9AE}" pid="3" name="_dlc_policyId">
    <vt:lpwstr>0x0101006F0A470EEB1140E7AA14F4CE8A50B54C|1203996477</vt:lpwstr>
  </property>
  <property fmtid="{D5CDD505-2E9C-101B-9397-08002B2CF9AE}" pid="4" name="ItemRetentionFormula">
    <vt:lpwstr>&lt;formula id="Shell.SharePoint.SIS.IOTV.IOTVExpirationFormula"&gt;&lt;number&gt;1080&lt;/number&gt;&lt;property&gt;Modified&lt;/property&gt;&lt;period&gt;months&lt;/period&gt;&lt;/formula&gt;</vt:lpwstr>
  </property>
  <property fmtid="{D5CDD505-2E9C-101B-9397-08002B2CF9AE}" pid="5" name="_dlc_DocIdItemGuid">
    <vt:lpwstr>ded6b3d3-d54c-451f-b415-e97ab623c732</vt:lpwstr>
  </property>
  <property fmtid="{D5CDD505-2E9C-101B-9397-08002B2CF9AE}" pid="6" name="Shell SharePoint SAEF SecurityClassification">
    <vt:lpwstr>12</vt:lpwstr>
  </property>
  <property fmtid="{D5CDD505-2E9C-101B-9397-08002B2CF9AE}" pid="7" name="Shell SharePoint SAEF DocumentType">
    <vt:lpwstr>13</vt:lpwstr>
  </property>
  <property fmtid="{D5CDD505-2E9C-101B-9397-08002B2CF9AE}" pid="8" name="Shell SharePoint SIS HRFunction">
    <vt:lpwstr>15</vt:lpwstr>
  </property>
  <property fmtid="{D5CDD505-2E9C-101B-9397-08002B2CF9AE}" pid="9" name="Shell SharePoint SAEF LegalEntity">
    <vt:lpwstr>4</vt:lpwstr>
  </property>
  <property fmtid="{D5CDD505-2E9C-101B-9397-08002B2CF9AE}" pid="10" name="Shell SharePoint SAEF BusinessUnitRegion">
    <vt:lpwstr>2</vt:lpwstr>
  </property>
  <property fmtid="{D5CDD505-2E9C-101B-9397-08002B2CF9AE}" pid="11" name="Shell SharePoint SAEF GlobalFunction">
    <vt:lpwstr>3</vt:lpwstr>
  </property>
  <property fmtid="{D5CDD505-2E9C-101B-9397-08002B2CF9AE}" pid="12" name="Shell SharePoint SAEF WorkgroupID">
    <vt:lpwstr>5</vt:lpwstr>
  </property>
  <property fmtid="{D5CDD505-2E9C-101B-9397-08002B2CF9AE}" pid="13" name="Shell SharePoint SAEF CountryOfJurisdiction">
    <vt:lpwstr>7</vt:lpwstr>
  </property>
  <property fmtid="{D5CDD505-2E9C-101B-9397-08002B2CF9AE}" pid="14" name="Shell SharePoint SAEF ExportControlClassification">
    <vt:lpwstr>9</vt:lpwstr>
  </property>
  <property fmtid="{D5CDD505-2E9C-101B-9397-08002B2CF9AE}" pid="15" name="Shell SharePoint SAEF DocumentStatus">
    <vt:lpwstr>11</vt:lpwstr>
  </property>
  <property fmtid="{D5CDD505-2E9C-101B-9397-08002B2CF9AE}" pid="16" name="Shell SharePoint SAEF Language">
    <vt:lpwstr>6</vt:lpwstr>
  </property>
  <property fmtid="{D5CDD505-2E9C-101B-9397-08002B2CF9AE}" pid="17" name="Shell SharePoint SAEF Business">
    <vt:lpwstr>1</vt:lpwstr>
  </property>
  <property fmtid="{D5CDD505-2E9C-101B-9397-08002B2CF9AE}" pid="18" name="Shell SharePoint SIS BusinessProcess">
    <vt:lpwstr>14</vt:lpwstr>
  </property>
  <property fmtid="{D5CDD505-2E9C-101B-9397-08002B2CF9AE}" pid="19" name="Shell SharePoint SAEF BusinessProcess">
    <vt:lpwstr>10</vt:lpwstr>
  </property>
</Properties>
</file>